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0 BTS progression/_Export_EASi/"/>
    </mc:Choice>
  </mc:AlternateContent>
  <xr:revisionPtr revIDLastSave="784" documentId="8_{D784F8FC-0CA2-4C6F-8075-B969E97D07DD}" xr6:coauthVersionLast="47" xr6:coauthVersionMax="47" xr10:uidLastSave="{A500BE06-FCAF-40A2-97C8-7B2AD4DE43E0}"/>
  <workbookProtection workbookAlgorithmName="SHA-512" workbookHashValue="TVoVIWPZ0qVvfjh50e38BLzQ5ET8NsFVwZhgc6AUXx1TQDs58mabsM7V5gVS/hnHDk0zQXwvfFxm/jC4pntBKg==" workbookSaltValue="kzxL2e7G4mGQjFsN7mkfsA==" workbookSpinCount="100000" lockStructure="1"/>
  <bookViews>
    <workbookView xWindow="-120" yWindow="-120" windowWidth="29040" windowHeight="15720" xr2:uid="{00000000-000D-0000-FFFF-FFFF00000000}"/>
  </bookViews>
  <sheets>
    <sheet name="Feuille de saisie" sheetId="6" r:id="rId1"/>
    <sheet name="Protection" sheetId="8" r:id="rId2"/>
    <sheet name="Règles" sheetId="4" state="hidden" r:id="rId3"/>
    <sheet name="Listes" sheetId="3" state="hidden" r:id="rId4"/>
    <sheet name="Domaines-Blocs de compétences" sheetId="7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5" i="6" l="1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5" i="6"/>
  <c r="L4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B4" i="7"/>
  <c r="B6" i="7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<sst xmlns="http://schemas.openxmlformats.org/spreadsheetml/2006/main" count="1106" uniqueCount="390">
  <si>
    <t>Catégorie</t>
  </si>
  <si>
    <t>type</t>
  </si>
  <si>
    <t>durée</t>
  </si>
  <si>
    <t>Fournisseur</t>
  </si>
  <si>
    <t>payant</t>
  </si>
  <si>
    <t>copyright</t>
  </si>
  <si>
    <t>forcé le statut</t>
  </si>
  <si>
    <t>url</t>
  </si>
  <si>
    <t>Positionnement</t>
  </si>
  <si>
    <t>Système d'information/Cyber sécurité</t>
  </si>
  <si>
    <t>Maintenance industrielle</t>
  </si>
  <si>
    <t>QHSE/RSE</t>
  </si>
  <si>
    <t>Management/Ressources humaines</t>
  </si>
  <si>
    <t>Pilotage/Réglage de systèmes de production</t>
  </si>
  <si>
    <t>Compétences transversales et/ou comportementales</t>
  </si>
  <si>
    <t>Formation de formateurs</t>
  </si>
  <si>
    <t>Conception/Bureau d'études</t>
  </si>
  <si>
    <t>Productique/Mécanique</t>
  </si>
  <si>
    <t>Electronique/Electrotechnique/Domotique</t>
  </si>
  <si>
    <t>Organisation et performance industrielle</t>
  </si>
  <si>
    <t>Mécatronique</t>
  </si>
  <si>
    <t>Robotique/Cobotique/Automatisme</t>
  </si>
  <si>
    <t>Energie/Génie climatique</t>
  </si>
  <si>
    <t>01 Connaissance</t>
  </si>
  <si>
    <t>02 Compréhension</t>
  </si>
  <si>
    <t>03 Application</t>
  </si>
  <si>
    <t>04 Analyse</t>
  </si>
  <si>
    <t>05 Synthèse</t>
  </si>
  <si>
    <t>taxonomies</t>
  </si>
  <si>
    <t>DOMAINE</t>
  </si>
  <si>
    <t>043F - CFAI CENTRE</t>
  </si>
  <si>
    <t>Travail des métaux/Matériaux composites</t>
  </si>
  <si>
    <t>Pôle formation UIMM CENTRE-VAL DE LOIRE</t>
  </si>
  <si>
    <t>06 Évaluation</t>
  </si>
  <si>
    <t>PPTX</t>
  </si>
  <si>
    <t>PDF</t>
  </si>
  <si>
    <t>Word</t>
  </si>
  <si>
    <t>Excel</t>
  </si>
  <si>
    <t>Libreoffice</t>
  </si>
  <si>
    <t>png</t>
  </si>
  <si>
    <t>jpg</t>
  </si>
  <si>
    <t>jfif</t>
  </si>
  <si>
    <t>gif</t>
  </si>
  <si>
    <t>obj</t>
  </si>
  <si>
    <t>amf</t>
  </si>
  <si>
    <t>stl</t>
  </si>
  <si>
    <t>Solidworks</t>
  </si>
  <si>
    <t>mp3</t>
  </si>
  <si>
    <t>m4v</t>
  </si>
  <si>
    <t>wav</t>
  </si>
  <si>
    <t>Code unique *</t>
  </si>
  <si>
    <t>Titre *</t>
  </si>
  <si>
    <t>corrige</t>
  </si>
  <si>
    <t>devoir</t>
  </si>
  <si>
    <t>evaluation</t>
  </si>
  <si>
    <t>positionnement</t>
  </si>
  <si>
    <t>preparation</t>
  </si>
  <si>
    <t>ressource</t>
  </si>
  <si>
    <t>tp</t>
  </si>
  <si>
    <t>presentiel</t>
  </si>
  <si>
    <t>travail</t>
  </si>
  <si>
    <t xml:space="preserve">structureID </t>
  </si>
  <si>
    <t>CPI-</t>
  </si>
  <si>
    <t>Blocs de compétences</t>
  </si>
  <si>
    <t>ATI-</t>
  </si>
  <si>
    <t>CCST-</t>
  </si>
  <si>
    <t>LMQ-</t>
  </si>
  <si>
    <t>Abrégé Domaine</t>
  </si>
  <si>
    <t>BE</t>
  </si>
  <si>
    <t>ELT</t>
  </si>
  <si>
    <t>PEDA</t>
  </si>
  <si>
    <t>MI</t>
  </si>
  <si>
    <t>MRH</t>
  </si>
  <si>
    <t>PROD</t>
  </si>
  <si>
    <t>ROB-AUTOM</t>
  </si>
  <si>
    <t>INFORM</t>
  </si>
  <si>
    <t>MEFORM</t>
  </si>
  <si>
    <t>EG</t>
  </si>
  <si>
    <t>EN-CLIM</t>
  </si>
  <si>
    <t>MTRON</t>
  </si>
  <si>
    <t>ORGA-PERF-I</t>
  </si>
  <si>
    <t>USIN</t>
  </si>
  <si>
    <t>Types possibles</t>
  </si>
  <si>
    <t>Evaluation
Préparation
Corrigé
TP</t>
  </si>
  <si>
    <t>PPTX
PDF
WORLD
EXDEL
LIBRE OFFICE</t>
  </si>
  <si>
    <t>Ressources
Travail</t>
  </si>
  <si>
    <t>Tous formats</t>
  </si>
  <si>
    <t>Présentiel</t>
  </si>
  <si>
    <t>Aucun format</t>
  </si>
  <si>
    <t>PDF
SCORM1.2</t>
  </si>
  <si>
    <t>Français,
Math,
Physique-chimie,
Anglais,
PSE,
Eco-Gestion,
Arts Appliqués et Cultures Artistiques,
EPS,
Histoire-Géographie,
EMC,
CULTGEN</t>
  </si>
  <si>
    <t>MELEC-
ELT-</t>
  </si>
  <si>
    <t>MSPC-
MS-
MA-</t>
  </si>
  <si>
    <t>TRPM-
CPRP-
IP-
IPP-</t>
  </si>
  <si>
    <t>CRSA-
CIRI-</t>
  </si>
  <si>
    <t>RICS-
TCI-
CRCI-
CACI-</t>
  </si>
  <si>
    <t>Formats</t>
  </si>
  <si>
    <t>vide</t>
  </si>
  <si>
    <t>Nom exact du fichier à importer</t>
  </si>
  <si>
    <t>Sélection obligatoire</t>
  </si>
  <si>
    <t>Auteur *</t>
  </si>
  <si>
    <r>
      <t>Saisie obligatoire</t>
    </r>
    <r>
      <rPr>
        <sz val="11"/>
        <rFont val="Calibri"/>
        <family val="2"/>
        <scheme val="minor"/>
      </rPr>
      <t xml:space="preserve">
Identifiez-vous avec votre login windows. Par exemple, Eric DURAND s'identifie par </t>
    </r>
    <r>
      <rPr>
        <b/>
        <sz val="11"/>
        <rFont val="Calibri"/>
        <family val="2"/>
        <scheme val="minor"/>
      </rPr>
      <t>e.durand</t>
    </r>
  </si>
  <si>
    <t xml:space="preserve">url </t>
  </si>
  <si>
    <t>true</t>
  </si>
  <si>
    <t>false</t>
  </si>
  <si>
    <t>ASRS - Administrer, exploiter et maintenir en condition opérationnelle un système d’information</t>
  </si>
  <si>
    <t>ASRS - Analyser et concevoir un système d’information</t>
  </si>
  <si>
    <t>ASRS - Déployer, tester et sécuriser un système d’information</t>
  </si>
  <si>
    <t>ASRS - Piloter un projet dans le secteur des systèmes, réseaux et sécurité</t>
  </si>
  <si>
    <t>ATI - Conception des spécifications générales d’un système pluritechnologique</t>
  </si>
  <si>
    <t>ATI - Mise en œuvre de mesures et/ou contrôles à caractère industriel</t>
  </si>
  <si>
    <t>ATI - Réalisation d’activités d’assistance technique</t>
  </si>
  <si>
    <t>ATI - Réalisation d’un dossier technique d’assistance d’ingénieur en entreprise</t>
  </si>
  <si>
    <t>ATI - Vérifications des performances mécaniques et électriques d’un système pluritechnologique</t>
  </si>
  <si>
    <t>BCP - ARTS APPLIQUÉS ET CULTURE ARTISTIQUE</t>
  </si>
  <si>
    <t>BCP - ÉCONOMIE - GESTION</t>
  </si>
  <si>
    <t>BCP - ÉDUCATION PHYSIQUE ET SPORTIVE</t>
  </si>
  <si>
    <t>BCP - FRANÇAIS</t>
  </si>
  <si>
    <t>BCP - HISTOIRE - GÉOGRAPHIE - EMC</t>
  </si>
  <si>
    <t>BCP - LANGUE VIVANTE : ANGLAIS</t>
  </si>
  <si>
    <t>BCP - MATHÉMATIQUES</t>
  </si>
  <si>
    <t>BCP - PHYSIQUE - CHIMIE</t>
  </si>
  <si>
    <t>BCP - PRÉVENTION - SANTÉ - ENVIRONNEMENT</t>
  </si>
  <si>
    <t>CACI - Action en responsabilité au sein d’une organisation professionnelle</t>
  </si>
  <si>
    <t>CACI - Exploitation de données à des fins d’analyse</t>
  </si>
  <si>
    <t>CACI - Expression et communication écrites et orales</t>
  </si>
  <si>
    <t>CACI - Gestion et adaptation des processus de production</t>
  </si>
  <si>
    <t>CACI - Positionnement vis à vis d’un champ professionnel</t>
  </si>
  <si>
    <t>CACI - Usages numériques</t>
  </si>
  <si>
    <t>CACI - Veille conformité des équipements, matériels et installations (réceptions, tests, essais, réglages, ...)</t>
  </si>
  <si>
    <t>CAPPI - Agir en responsabilité au sein d’une organisation professionnelle</t>
  </si>
  <si>
    <t>CAPPI - Améliorer des processus industriels</t>
  </si>
  <si>
    <t>CAPPI - Anglais Professionnel</t>
  </si>
  <si>
    <t>CAPPI - Architecture et maintenance des systèmes industriels</t>
  </si>
  <si>
    <t>CAPPI - Chaîne numérique XAO</t>
  </si>
  <si>
    <t>CAPPI - Communication professionnelle</t>
  </si>
  <si>
    <t>CAPPI - Conception produit/process</t>
  </si>
  <si>
    <t>CAPPI - Etude des systèmes</t>
  </si>
  <si>
    <t>CAPPI - Exploiter des données à des fins d’analyse</t>
  </si>
  <si>
    <t>CAPPI - Gérer des processus de productions industriels</t>
  </si>
  <si>
    <t>CAPPI - Management d'équipe et économique</t>
  </si>
  <si>
    <t>CAPPI - Mécanique appliquée, Conception des montages d'usinage</t>
  </si>
  <si>
    <t>CAPPI - Optimisation, maîtrise de la production</t>
  </si>
  <si>
    <t>CAPPI - Outils scientifiques et techniques</t>
  </si>
  <si>
    <t>CAPPI - Projet</t>
  </si>
  <si>
    <t>CAPPI - S’exprimer et communiquer à l’oral, à l’écrit, et dans au moins une langue étrangère</t>
  </si>
  <si>
    <t>CAPPI - Santé, Sécurité, Environnement</t>
  </si>
  <si>
    <t>CAPPI - Se positionner vis à vis d’un champ professionnel</t>
  </si>
  <si>
    <t>CAPPI - Utiliser les outils numériques de référence</t>
  </si>
  <si>
    <t>CCST - CONCEVOIR ET NÉGOCIER DES SOLUTIONS TECHNICO-COMMERCIALES</t>
  </si>
  <si>
    <t>CCST - DÉVELOPPER LA CLIENTÈLE ET LA RELATION CLIENT</t>
  </si>
  <si>
    <t>CCST - MANAGER L'ACTIVITÉ TECHNICO-COMMERCIALE</t>
  </si>
  <si>
    <t>CCST - METTRE EN OEUVRE L'EXPERTISE TECHNICO-COMMERCIALE</t>
  </si>
  <si>
    <t>CIRI - Étude et définition d’une solution robotisée</t>
  </si>
  <si>
    <t>CIRI - Intégration d’une solution robotisée</t>
  </si>
  <si>
    <t>CPI - Conception détaillée : pré-industrialiser et définir une solution technique optimisée relative à un mécanisme</t>
  </si>
  <si>
    <t>CPI - Conception préliminaire : concevoir et choisir une solution technique relative à un mécanisme</t>
  </si>
  <si>
    <t>CPI - Participer à la réponse à une affaire : analyser l'expression d'un besoin et rédiger un CdCf</t>
  </si>
  <si>
    <t>CPI - Participer à la vie d’un bureau d’études</t>
  </si>
  <si>
    <t>CPRP - Concevoir la production</t>
  </si>
  <si>
    <t>CPRP - Gérer la réalisation</t>
  </si>
  <si>
    <t>CPRP - Initialiser la production</t>
  </si>
  <si>
    <t>CPRP - Répondre à une affaire</t>
  </si>
  <si>
    <t>CRCI - Conception d’un ensemble chaudronné et de sa réalisation</t>
  </si>
  <si>
    <t>CRCI - Organisation et suivi de la réalisation, préfabrication, installation et de la maintenance</t>
  </si>
  <si>
    <t>CRCI - Réponse à une affaire</t>
  </si>
  <si>
    <t>CRSA - Conception détaillée d’un système automatique</t>
  </si>
  <si>
    <t>CRSA - Conception détaillée d’une chaîne fonctionnelle</t>
  </si>
  <si>
    <t>CRSA - Conception préliminaire d’un système automatique</t>
  </si>
  <si>
    <t>CRSA - Conduite et réalisation d’un projet</t>
  </si>
  <si>
    <t>CRSA - Rapport d’activité en entreprise</t>
  </si>
  <si>
    <t>IP - Gestion de projet et management d’équipe</t>
  </si>
  <si>
    <t>IP - Intégration de la Productique Industrielle</t>
  </si>
  <si>
    <t>IP - La recherche de solution d'amélioration des moyens de production</t>
  </si>
  <si>
    <t>IP - Le pilotage de la mise en oeuvre de la solution technique d'intégration des procédés</t>
  </si>
  <si>
    <t>IP - Prise en compte des enjeux de l’entreprise dans un contexte international</t>
  </si>
  <si>
    <t>MA - Gestion de la communication de l'activité de maintenance des équipements d'une ligne ou d'un ilot de production</t>
  </si>
  <si>
    <t>MA - Gestion de projet et management d’équipe</t>
  </si>
  <si>
    <t>MA - Maintenance avancée</t>
  </si>
  <si>
    <t>MA - Organisation de la surveillance et du suivi des équipements d'une ligne ou d'un ilot de production</t>
  </si>
  <si>
    <t>MA - Pilotage de la mise en oeuvre des méthodes ou solutions de maintenance</t>
  </si>
  <si>
    <t>MA - Prise en compte des enjeux de l’entreprise dans un contexte international</t>
  </si>
  <si>
    <t>MELEC - Dépannage d'une installation</t>
  </si>
  <si>
    <t>MELEC - Livraison d'une installation</t>
  </si>
  <si>
    <t>MELEC - Maintenance d'une installation</t>
  </si>
  <si>
    <t>MELEC - Préparation des opérations à réaliser</t>
  </si>
  <si>
    <t>MELEC - Préparation d'une opération</t>
  </si>
  <si>
    <t>MELEC - Réalisation d'une installation</t>
  </si>
  <si>
    <t>MELEC - Réalisation et mise en service d'une installation</t>
  </si>
  <si>
    <t>MS - Intégration d'un bien</t>
  </si>
  <si>
    <t>MS - Maintenance améliorative</t>
  </si>
  <si>
    <t>MS - Maintenance corrective</t>
  </si>
  <si>
    <t>MS - Maintenance préventive</t>
  </si>
  <si>
    <t>MS - Organisation de la maintenance</t>
  </si>
  <si>
    <t>MSI - Agir en responsabilité au sein d’une organisation professionnelle</t>
  </si>
  <si>
    <t>MSI - Assurer des actions de maintenance dans une perspective d’amélioration continue</t>
  </si>
  <si>
    <t>MSI - Définir et adapter les méthodes de maintenance selon le contexte industriel</t>
  </si>
  <si>
    <t>MSI - Développer une politique de maintenance adaptée au contexte de l’entreprise</t>
  </si>
  <si>
    <t>MSI - Exploiter des données à des fins d’analyse</t>
  </si>
  <si>
    <t>MSI - S’exprimer et communiquer à l’oral, à l’écrit, et dans au moins une langue étrangère</t>
  </si>
  <si>
    <t>MSI - Utiliser les outils numériques de référence</t>
  </si>
  <si>
    <t>MSI -Se positionner vis à vis d’un champ professionnel</t>
  </si>
  <si>
    <t>MSPC - Organiser et optimiser son intervention de maintenance</t>
  </si>
  <si>
    <t>MSPC - Réaliser les interventions d'amélioration continue de manière éco-responsable</t>
  </si>
  <si>
    <t>MSPC - Réaliser les interventions de maintenance corrective de manière éco-responsable</t>
  </si>
  <si>
    <t>MSPC - Réaliser les interventions de maintenance préventive de manière éco-responsable</t>
  </si>
  <si>
    <t>RICS - Analyse et exploitation des données préparatoires à une fabrication chaudronnée/soudée</t>
  </si>
  <si>
    <t>RICS - Configuration, réalisation et contrôle d’un ouvrage chaudronné/soudé</t>
  </si>
  <si>
    <t>RMO - ÉTUDE ET PRÉPARATION DE LA RÉALISATION</t>
  </si>
  <si>
    <t>RMO - PROJET DE RÉALISATION DE PRODUITS OU D'UN OUTILLAGE</t>
  </si>
  <si>
    <t>RMO - SUIVI DE PRODUCTION ET MAINTENANCE</t>
  </si>
  <si>
    <t>RMUP - Manager les équipes et leurs activités</t>
  </si>
  <si>
    <t>RMUP - Organiser et conduire les projets</t>
  </si>
  <si>
    <t>RMUP - Piloter et animer la communication de son service</t>
  </si>
  <si>
    <t>RMUP - Piloter et optimiser la performance de son service</t>
  </si>
  <si>
    <t>RSP - ÉTUDE ET PRÉPARATION DE LA RÉALISATION</t>
  </si>
  <si>
    <t>RSP - PROJET DE RÉALISATION DE PRODUITS OU D'UN OUTILLAGE</t>
  </si>
  <si>
    <t>RSP - SUIVI DE PRODUCTION ET MAINTENANCE</t>
  </si>
  <si>
    <t>TCI - Analyse et exploitation de données techniques</t>
  </si>
  <si>
    <t>TCI - Fabrication d'un ensemble chaudronné</t>
  </si>
  <si>
    <t>TCI - Réhabilitation sur chantier d’un ensemble chaudronné</t>
  </si>
  <si>
    <t>ELT : Conception - étude détaillée du projet</t>
  </si>
  <si>
    <t>ELT : Conception - étude préliminaire</t>
  </si>
  <si>
    <t>ELT : Conduite de projet/chantier</t>
  </si>
  <si>
    <t>ELT : Réalisation, mise en service d’un projet</t>
  </si>
  <si>
    <t>ELT : Analyse, diagnostic, maintenance</t>
  </si>
  <si>
    <t>BCP - PROJET (ex-Chef d'Œuvre)</t>
  </si>
  <si>
    <t>BTS - Langue Vivante Etrangère : Anglais</t>
  </si>
  <si>
    <t>BTS - Mathématiques</t>
  </si>
  <si>
    <t>BTS - Sciences Physiques</t>
  </si>
  <si>
    <t>BTS - Culture générale et expression</t>
  </si>
  <si>
    <t>CAP - Chef d'Œuvre</t>
  </si>
  <si>
    <t>CAP - Français Hist.-Géo. Ed. civique</t>
  </si>
  <si>
    <t>CAP - Math. - Sc. physiques et chimiques</t>
  </si>
  <si>
    <t>CAP - Education physique et sportive</t>
  </si>
  <si>
    <t>CAP - Prév. Santé Env.</t>
  </si>
  <si>
    <t>TS - Étude tech et prépa d'une intervention</t>
  </si>
  <si>
    <t>TS - Réal. et contrôle d'1 opé. de soudage</t>
  </si>
  <si>
    <t>TS - Éval. des activités en milieu prof.</t>
  </si>
  <si>
    <t>BACHELOR - M2 - Culture d'entreprise</t>
  </si>
  <si>
    <t>BACHELOR - M3 - Organisation de la production</t>
  </si>
  <si>
    <t>BACHELOR - M1 - Anglais</t>
  </si>
  <si>
    <t>BACHELOR - M4 - Informatique Industrielle</t>
  </si>
  <si>
    <t>BACHELOR - M5 - Qualité et stabilité d'un processus</t>
  </si>
  <si>
    <t>CS4 - Anglais</t>
  </si>
  <si>
    <t>CS4 - Culture Générale et Expression</t>
  </si>
  <si>
    <t>CCST - Anglais - Compréhension de l'écrit et expression écrite</t>
  </si>
  <si>
    <t>CCST - Anglais - Compréhension de l'oral, production orale en continue et en interraction</t>
  </si>
  <si>
    <t>CS4 - Economie - Gestion</t>
  </si>
  <si>
    <t>CS4 - Outils Mathématiques</t>
  </si>
  <si>
    <t xml:space="preserve">Abrégé </t>
  </si>
  <si>
    <t>BACH_ORG-PROD</t>
  </si>
  <si>
    <t>BACH_ANG</t>
  </si>
  <si>
    <t>BACH_CULT-ENTR</t>
  </si>
  <si>
    <t>BACH_INFO-INDUS</t>
  </si>
  <si>
    <t>BACH_QUAL-PROCE</t>
  </si>
  <si>
    <t>MA_GESTION-PRODU</t>
  </si>
  <si>
    <t>MA_GESTION-D’ÉQU</t>
  </si>
  <si>
    <t>MA_PILOTAGE-MAINT</t>
  </si>
  <si>
    <t>BCP_ECO-GEST</t>
  </si>
  <si>
    <t>BCP_EPS</t>
  </si>
  <si>
    <t>CAP_EPS</t>
  </si>
  <si>
    <t>BCP_HG-EMC</t>
  </si>
  <si>
    <t>BCP_ANGLAIS</t>
  </si>
  <si>
    <t>BCP _MATH</t>
  </si>
  <si>
    <t>BCP _PHYS-CHIMIE</t>
  </si>
  <si>
    <t>BCP _PROJ</t>
  </si>
  <si>
    <t>BTS_CULT-GEN</t>
  </si>
  <si>
    <t>BTS_ANGLAIS</t>
  </si>
  <si>
    <t>BTS _MATH</t>
  </si>
  <si>
    <t>BTS _PHYS-CHIMIE</t>
  </si>
  <si>
    <r>
      <t>CAP _CHEF-D</t>
    </r>
    <r>
      <rPr>
        <sz val="11"/>
        <color theme="1"/>
        <rFont val="Aptos Narrow"/>
        <family val="2"/>
      </rPr>
      <t>Œ</t>
    </r>
    <r>
      <rPr>
        <sz val="11"/>
        <color theme="1"/>
        <rFont val="Calibri"/>
        <family val="2"/>
        <scheme val="minor"/>
      </rPr>
      <t>UVRE</t>
    </r>
  </si>
  <si>
    <t>BCP_FRANÇ</t>
  </si>
  <si>
    <t>CAP_FRANÇ-HG-EMC</t>
  </si>
  <si>
    <t>BCP_PSE</t>
  </si>
  <si>
    <t>CAP_MATH-SCIENCES</t>
  </si>
  <si>
    <t>CAP _PSE</t>
  </si>
  <si>
    <t>CS_CULT-GEN</t>
  </si>
  <si>
    <t>CS _ECO-GEST</t>
  </si>
  <si>
    <t>CS _MATH</t>
  </si>
  <si>
    <t>MA _MAINT-AV</t>
  </si>
  <si>
    <t>MA_ORGANISATION-SUIVI</t>
  </si>
  <si>
    <t>MA_ENJEUX-INTERNATIONAUX</t>
  </si>
  <si>
    <t>MSI_AGIR-RESP</t>
  </si>
  <si>
    <t>MSI_MAINT-AMEL-CONT</t>
  </si>
  <si>
    <t>MSI_METHOD-MAINT-INDUS</t>
  </si>
  <si>
    <t>MSI_DÉV-POLITIQ-MAINT</t>
  </si>
  <si>
    <t>MSI_ANALYS-DONNEES</t>
  </si>
  <si>
    <t>MSI_LANGUE ETRANG</t>
  </si>
  <si>
    <t>MSI_OUTIL-NUM</t>
  </si>
  <si>
    <t>MSI_POSIT-CHAMP-PROF</t>
  </si>
  <si>
    <t>BCP_ARTS</t>
  </si>
  <si>
    <t>TPM-0009-1_Préparation des opérations d'usinage sur MOCN par enlèvement de matière</t>
  </si>
  <si>
    <t>TPM-0009-2_Réalisation des opérations d'usinage d'une série de pièces sur MOCN par enlèvement de matière et de contrôle de la production</t>
  </si>
  <si>
    <t>TPM-0021-1_L’intervention de maintenance corrective</t>
  </si>
  <si>
    <t>TPM _INTERV-MAINT-CORR</t>
  </si>
  <si>
    <t>TPM-0021-2_L’intervention de maintenance préventive</t>
  </si>
  <si>
    <t>TPM _INTERV-MAINT-PRÉV</t>
  </si>
  <si>
    <t>TPM-0042-1_L'exécution des opérations de positionnement, de pointage et de soudage</t>
  </si>
  <si>
    <t>TPM-0042-2_La préparation des pièces et des activités de soudage</t>
  </si>
  <si>
    <t>TPM-0059-1_La préparation et la réalisation de pièces primaires (débits, mise en forme)</t>
  </si>
  <si>
    <t>TPM-0059-2_La réalisation d’un sous-ensemble chaudronné</t>
  </si>
  <si>
    <t>TPM-0093-1_Préparation d’éléments de tuyauterie</t>
  </si>
  <si>
    <t>TPM-0093-2_Préfabrication et assemblage de lignes de tuyauteries</t>
  </si>
  <si>
    <t>TPM-0137-1_La réalisation d'une intervention de maintenance préventive</t>
  </si>
  <si>
    <t>TPM-0137-2_La réalisation d'une intervention de maintenance corrective</t>
  </si>
  <si>
    <t>TPM-0137-3_La contribution à la maintenance améliorative</t>
  </si>
  <si>
    <t>TPM_CONTRIB-MAINT-AMEL</t>
  </si>
  <si>
    <t>TPM-0298-1_La fabrication d'un ensemble chaudronné en atelier</t>
  </si>
  <si>
    <t>TPM-0298-2_Les opérations de réhabilitation ou d'installation de chaudronnerie sur site</t>
  </si>
  <si>
    <t>TPM-0300-1_L’établissement des gammes et programmes d’usinage</t>
  </si>
  <si>
    <t>TPM-0300-2_La préparation, l’usinage et l’amélioration sur MOCN</t>
  </si>
  <si>
    <t xml:space="preserve">ATI - </t>
  </si>
  <si>
    <t>CCST_</t>
  </si>
  <si>
    <t>CPI_</t>
  </si>
  <si>
    <t>CS _ANGLAIS</t>
  </si>
  <si>
    <t>ELT _</t>
  </si>
  <si>
    <t>MELEC _</t>
  </si>
  <si>
    <t>MS _</t>
  </si>
  <si>
    <t>MSPC_</t>
  </si>
  <si>
    <t>Liste des blocs de compétences</t>
  </si>
  <si>
    <t>Domaine</t>
  </si>
  <si>
    <t>Bloc de Compétences</t>
  </si>
  <si>
    <t>Abrégé BDC</t>
  </si>
  <si>
    <t>Re-sélectionner le domaine</t>
  </si>
  <si>
    <t>Domaine :</t>
  </si>
  <si>
    <t>Niveau :</t>
  </si>
  <si>
    <t>069_NOM4lettres_CodeUniqFormateur_Niv_BDC_catégorie_premiermot-clé_année</t>
  </si>
  <si>
    <r>
      <rPr>
        <b/>
        <sz val="11"/>
        <color theme="9"/>
        <rFont val="Calibri"/>
        <family val="2"/>
        <scheme val="minor"/>
      </rPr>
      <t>Saisie obligatoire</t>
    </r>
    <r>
      <rPr>
        <sz val="11"/>
        <color theme="1"/>
        <rFont val="Calibri"/>
        <family val="2"/>
        <scheme val="minor"/>
      </rPr>
      <t xml:space="preserve">
Titre de l'activité tel qu'il sera visible dans EASi.
</t>
    </r>
    <r>
      <rPr>
        <b/>
        <sz val="11"/>
        <color rgb="FFFF0000"/>
        <rFont val="Calibri"/>
        <family val="2"/>
        <scheme val="minor"/>
      </rPr>
      <t xml:space="preserve">A exclure : le retour à la ligne (Alt+Entrée) et le point-virgule
</t>
    </r>
    <r>
      <rPr>
        <u/>
        <sz val="11"/>
        <rFont val="Calibri"/>
        <family val="2"/>
        <scheme val="minor"/>
      </rPr>
      <t>A titre indicatif :</t>
    </r>
    <r>
      <rPr>
        <sz val="11"/>
        <rFont val="Calibri"/>
        <family val="2"/>
        <scheme val="minor"/>
      </rPr>
      <t xml:space="preserve"> titre limité à 250 caractères.
</t>
    </r>
    <r>
      <rPr>
        <i/>
        <sz val="11"/>
        <rFont val="Calibri"/>
        <family val="2"/>
        <scheme val="minor"/>
      </rPr>
      <t>(si le titre excède 250 caractères, il sera tronqué)</t>
    </r>
  </si>
  <si>
    <r>
      <rPr>
        <b/>
        <sz val="11"/>
        <color theme="9"/>
        <rFont val="Calibri"/>
        <family val="2"/>
        <scheme val="minor"/>
      </rPr>
      <t>Saisie obligatoire</t>
    </r>
    <r>
      <rPr>
        <sz val="11"/>
        <color theme="1"/>
        <rFont val="Calibri"/>
        <family val="2"/>
        <scheme val="minor"/>
      </rPr>
      <t xml:space="preserve">
Texte </t>
    </r>
    <r>
      <rPr>
        <b/>
        <sz val="11"/>
        <color rgb="FFFF0000"/>
        <rFont val="Calibri"/>
        <family val="2"/>
        <scheme val="minor"/>
      </rPr>
      <t>sans point-virgule ni retour à la ligne (Alt+Entrée)</t>
    </r>
    <r>
      <rPr>
        <sz val="11"/>
        <color theme="1"/>
        <rFont val="Calibri"/>
        <family val="2"/>
        <scheme val="minor"/>
      </rPr>
      <t xml:space="preserve">.
</t>
    </r>
    <r>
      <rPr>
        <u/>
        <sz val="11"/>
        <color theme="1"/>
        <rFont val="Calibri"/>
        <family val="2"/>
        <scheme val="minor"/>
      </rPr>
      <t>A titre indicatif :</t>
    </r>
    <r>
      <rPr>
        <sz val="11"/>
        <color theme="1"/>
        <rFont val="Calibri"/>
        <family val="2"/>
        <scheme val="minor"/>
      </rPr>
      <t xml:space="preserve"> limitée à 650 caractères.
</t>
    </r>
    <r>
      <rPr>
        <i/>
        <sz val="11"/>
        <color theme="1"/>
        <rFont val="Calibri"/>
        <family val="2"/>
        <scheme val="minor"/>
      </rPr>
      <t>(si la description excède 650 caractères, elle sera tronquée)</t>
    </r>
  </si>
  <si>
    <r>
      <rPr>
        <b/>
        <sz val="11"/>
        <color theme="9"/>
        <rFont val="Calibri"/>
        <family val="2"/>
        <scheme val="minor"/>
      </rPr>
      <t xml:space="preserve">Saisie obligatoire
</t>
    </r>
    <r>
      <rPr>
        <b/>
        <sz val="11"/>
        <rFont val="Calibri"/>
        <family val="2"/>
        <scheme val="minor"/>
      </rPr>
      <t>Le premier mot clé donne la thématique générale de l'activité.</t>
    </r>
    <r>
      <rPr>
        <sz val="11"/>
        <color theme="1"/>
        <rFont val="Calibri"/>
        <family val="2"/>
        <scheme val="minor"/>
      </rPr>
      <t xml:space="preserve">
10 mots-clés maxi séparés par des points-virgules
</t>
    </r>
    <r>
      <rPr>
        <b/>
        <sz val="11"/>
        <color rgb="FFFF0000"/>
        <rFont val="Calibri"/>
        <family val="2"/>
        <scheme val="minor"/>
      </rPr>
      <t>A exclure : le retour à la ligne (Alt+Entrée).</t>
    </r>
  </si>
  <si>
    <t>Taxonomie ou niveau de formation</t>
  </si>
  <si>
    <t>Niveau de formation</t>
  </si>
  <si>
    <t>Niveau CAP-BEP</t>
  </si>
  <si>
    <t>Niveau Bac+2</t>
  </si>
  <si>
    <t>Niveau Bac</t>
  </si>
  <si>
    <t>Niveau Bac+3</t>
  </si>
  <si>
    <t>Niveau Bac+5</t>
  </si>
  <si>
    <t>Catégorie d'activité *</t>
  </si>
  <si>
    <t>Description *</t>
  </si>
  <si>
    <t>Mots clés *</t>
  </si>
  <si>
    <t>Formation</t>
  </si>
  <si>
    <t>Bachelor ASRS</t>
  </si>
  <si>
    <t>BTS ATI</t>
  </si>
  <si>
    <t>LP CACI</t>
  </si>
  <si>
    <t>LP CAPPI</t>
  </si>
  <si>
    <t>BTS CCST</t>
  </si>
  <si>
    <t>TPM CIRI</t>
  </si>
  <si>
    <t>BTS CPI</t>
  </si>
  <si>
    <t>BTS CPRP</t>
  </si>
  <si>
    <t>BTS CRCI</t>
  </si>
  <si>
    <t>BTS CRSA</t>
  </si>
  <si>
    <t>BTS ELT</t>
  </si>
  <si>
    <t>Bachelor IP</t>
  </si>
  <si>
    <t>Bachelor MA</t>
  </si>
  <si>
    <t>Bac Pro MELEC</t>
  </si>
  <si>
    <t>BTS MS</t>
  </si>
  <si>
    <t>LP MSI</t>
  </si>
  <si>
    <t>Bac Pro MSPC</t>
  </si>
  <si>
    <t>CAP RICS</t>
  </si>
  <si>
    <t>Bac PRO TRPM-RMO</t>
  </si>
  <si>
    <t>Bachelor RMUP</t>
  </si>
  <si>
    <t>Bac PRO TRPM-RSP</t>
  </si>
  <si>
    <t>Bac PRO TCI</t>
  </si>
  <si>
    <t>TPM OR-MOCN</t>
  </si>
  <si>
    <t>TPM OMI</t>
  </si>
  <si>
    <t>TPM SI</t>
  </si>
  <si>
    <t>TPM CA</t>
  </si>
  <si>
    <t>TPM TI</t>
  </si>
  <si>
    <t>TPM TMI</t>
  </si>
  <si>
    <t>TPM TPC</t>
  </si>
  <si>
    <t>TPM TU-MOCN</t>
  </si>
  <si>
    <t>CS TS4</t>
  </si>
  <si>
    <t>Formation *</t>
  </si>
  <si>
    <r>
      <t xml:space="preserve">Sélection obligatoire
</t>
    </r>
    <r>
      <rPr>
        <sz val="11"/>
        <rFont val="Calibri"/>
        <family val="2"/>
        <scheme val="minor"/>
      </rPr>
      <t>Avant de sélectionner votre bloc de compétences, re-sélectionnez la formation (dans la case noire ci-dessous) identique à celle de la ligne en cours de remplissage.</t>
    </r>
  </si>
  <si>
    <t>Re-sélectionner la formation</t>
  </si>
  <si>
    <t>Bloc de Compétences *</t>
  </si>
  <si>
    <t>Ce fichier est protégé contre toutes modifications intempestives.
A toutes fins utiles, le mot de passe est CFAI2026</t>
  </si>
  <si>
    <r>
      <rPr>
        <b/>
        <sz val="11"/>
        <color theme="9"/>
        <rFont val="Calibri"/>
        <family val="2"/>
        <scheme val="minor"/>
      </rPr>
      <t>Saisie Facultative</t>
    </r>
    <r>
      <rPr>
        <sz val="11"/>
        <color theme="1"/>
        <rFont val="Calibri"/>
        <family val="2"/>
        <scheme val="minor"/>
      </rPr>
      <t xml:space="preserve">
Si votre ressource possède une référence qui vous est propre, vous pouvez la saisir ici
</t>
    </r>
    <r>
      <rPr>
        <u/>
        <sz val="11"/>
        <color theme="1"/>
        <rFont val="Calibri"/>
        <family val="2"/>
        <scheme val="minor"/>
      </rPr>
      <t>A titre indicatif :</t>
    </r>
    <r>
      <rPr>
        <sz val="11"/>
        <color theme="1"/>
        <rFont val="Calibri"/>
        <family val="2"/>
        <scheme val="minor"/>
      </rPr>
      <t xml:space="preserve"> une quinzaine de caractères maxi.</t>
    </r>
  </si>
  <si>
    <t>Référence personnelle de la ressource</t>
  </si>
  <si>
    <r>
      <rPr>
        <b/>
        <sz val="11"/>
        <color rgb="FF00B050"/>
        <rFont val="Calibri"/>
        <family val="2"/>
        <scheme val="minor"/>
      </rPr>
      <t>Saisie alternative</t>
    </r>
    <r>
      <rPr>
        <sz val="11"/>
        <color theme="1"/>
        <rFont val="Calibri"/>
        <family val="2"/>
        <scheme val="minor"/>
      </rPr>
      <t xml:space="preserve">
Uniquement s'il s'agit d'une activité qui nécessite l'import d'un fichier.
</t>
    </r>
    <r>
      <rPr>
        <b/>
        <sz val="11"/>
        <color rgb="FFFF0000"/>
        <rFont val="Calibri"/>
        <family val="2"/>
        <scheme val="minor"/>
      </rPr>
      <t xml:space="preserve">Le nom du fichier ne doit pas comporter d'espace, ni de caractères spéciaux.
</t>
    </r>
    <r>
      <rPr>
        <b/>
        <u/>
        <sz val="11"/>
        <color theme="1"/>
        <rFont val="Calibri"/>
        <family val="2"/>
        <scheme val="minor"/>
      </rPr>
      <t>Formats autorisés :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Document </t>
    </r>
    <r>
      <rPr>
        <b/>
        <sz val="11"/>
        <color theme="1"/>
        <rFont val="Calibri"/>
        <family val="2"/>
        <scheme val="minor"/>
      </rPr>
      <t xml:space="preserve">pdf
</t>
    </r>
    <r>
      <rPr>
        <sz val="11"/>
        <color theme="1"/>
        <rFont val="Calibri"/>
        <family val="2"/>
        <scheme val="minor"/>
      </rPr>
      <t xml:space="preserve">Document </t>
    </r>
    <r>
      <rPr>
        <b/>
        <sz val="11"/>
        <color theme="1"/>
        <rFont val="Calibri"/>
        <family val="2"/>
        <scheme val="minor"/>
      </rPr>
      <t>Office</t>
    </r>
    <r>
      <rPr>
        <sz val="11"/>
        <color theme="1"/>
        <rFont val="Calibri"/>
        <family val="2"/>
        <scheme val="minor"/>
      </rPr>
      <t xml:space="preserve"> (word, excel, présentation) ou </t>
    </r>
    <r>
      <rPr>
        <b/>
        <sz val="11"/>
        <color theme="1"/>
        <rFont val="Calibri"/>
        <family val="2"/>
        <scheme val="minor"/>
      </rPr>
      <t xml:space="preserve">Libreoffice
</t>
    </r>
    <r>
      <rPr>
        <sz val="11"/>
        <color theme="1"/>
        <rFont val="Calibri"/>
        <family val="2"/>
        <scheme val="minor"/>
      </rPr>
      <t>Image (</t>
    </r>
    <r>
      <rPr>
        <b/>
        <sz val="11"/>
        <color theme="1"/>
        <rFont val="Calibri"/>
        <family val="2"/>
        <scheme val="minor"/>
      </rPr>
      <t>png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jpg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jfif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gif)
</t>
    </r>
    <r>
      <rPr>
        <sz val="11"/>
        <color theme="1"/>
        <rFont val="Calibri"/>
        <family val="2"/>
        <scheme val="minor"/>
      </rPr>
      <t>Ojet 3D (</t>
    </r>
    <r>
      <rPr>
        <b/>
        <sz val="11"/>
        <color theme="1"/>
        <rFont val="Calibri"/>
        <family val="2"/>
        <scheme val="minor"/>
      </rPr>
      <t>obj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amf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stl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Solidworks</t>
    </r>
    <r>
      <rPr>
        <sz val="11"/>
        <color theme="1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Fichier audio (</t>
    </r>
    <r>
      <rPr>
        <b/>
        <sz val="11"/>
        <color theme="1"/>
        <rFont val="Calibri"/>
        <family val="2"/>
        <scheme val="minor"/>
      </rPr>
      <t>mp3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m4v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wav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ogg</t>
    </r>
    <r>
      <rPr>
        <sz val="11"/>
        <color theme="1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vidéo (</t>
    </r>
    <r>
      <rPr>
        <b/>
        <sz val="11"/>
        <color theme="1"/>
        <rFont val="Calibri"/>
        <family val="2"/>
        <scheme val="minor"/>
      </rPr>
      <t>mp4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webm</t>
    </r>
    <r>
      <rPr>
        <sz val="11"/>
        <color theme="1"/>
        <rFont val="Calibri"/>
        <family val="2"/>
        <scheme val="minor"/>
      </rPr>
      <t>,</t>
    </r>
    <r>
      <rPr>
        <b/>
        <sz val="11"/>
        <color theme="1"/>
        <rFont val="Calibri"/>
        <family val="2"/>
        <scheme val="minor"/>
      </rPr>
      <t xml:space="preserve"> m4v</t>
    </r>
    <r>
      <rPr>
        <sz val="11"/>
        <color theme="1"/>
        <rFont val="Calibri"/>
        <family val="2"/>
        <scheme val="minor"/>
      </rPr>
      <t>)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SCORM</t>
    </r>
    <r>
      <rPr>
        <b/>
        <sz val="11"/>
        <color theme="1"/>
        <rFont val="Calibri"/>
        <family val="2"/>
        <scheme val="minor"/>
      </rPr>
      <t xml:space="preserve"> 1.2</t>
    </r>
  </si>
  <si>
    <r>
      <rPr>
        <b/>
        <sz val="11"/>
        <color rgb="FF00B050"/>
        <rFont val="Calibri"/>
        <family val="2"/>
        <scheme val="minor"/>
      </rPr>
      <t>Saisie alternative</t>
    </r>
    <r>
      <rPr>
        <sz val="11"/>
        <color theme="1"/>
        <rFont val="Calibri"/>
        <family val="2"/>
        <scheme val="minor"/>
      </rPr>
      <t xml:space="preserve">
Uniquement s'il s'agit d'une activité qui renvoie à un contenu disponible via lien web.
</t>
    </r>
    <r>
      <rPr>
        <b/>
        <sz val="11"/>
        <color theme="1"/>
        <rFont val="Calibri"/>
        <family val="2"/>
        <scheme val="minor"/>
      </rPr>
      <t>Il est recommandé de bien tester les urls en amont.</t>
    </r>
  </si>
  <si>
    <t>Ce test vous permet de savoir si, sur une ligne, l'une des deux cases (en colonne J ou K) est bien vide (et l'autre resneignée).
Pour que le remplissage soit convenable, la mention "OK "doit apparaître.</t>
  </si>
  <si>
    <t>Test sur le remplissage correct des colonnes J et K</t>
  </si>
  <si>
    <t>Ens. Général Niveau 3 (CAP)</t>
  </si>
  <si>
    <t>Ens. Général Niveau 5 (Bac+2)</t>
  </si>
  <si>
    <t>Ens. Général Niveau 6 (Bac+3)</t>
  </si>
  <si>
    <t>Ens. Général Niveau 4 (Bac)</t>
  </si>
  <si>
    <r>
      <t>Sélection facultative</t>
    </r>
    <r>
      <rPr>
        <sz val="11"/>
        <rFont val="Calibri"/>
        <family val="2"/>
        <scheme val="minor"/>
      </rPr>
      <t xml:space="preserve">
durée indicative, exprimée en hh:mm
Si la case reste vide, la valeur dans EASi sera de 5 minutes (00:05)</t>
    </r>
  </si>
  <si>
    <t>Durée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</si>
</sst>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/>
      <name val="Aptos Narrow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 style="thick">
        <color rgb="FFFFFF00"/>
      </left>
      <right style="thick">
        <color rgb="FFFFFF00"/>
      </right>
      <top/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</borders>
  <cellStyleXfs count="42">
    <xf numFmtId="0" fontId="0" fillId="0" borderId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24" fillId="10" borderId="8" applyNumberFormat="0" applyAlignment="0" applyProtection="0"/>
    <xf numFmtId="0" fontId="25" fillId="11" borderId="9" applyNumberFormat="0" applyAlignment="0" applyProtection="0"/>
    <xf numFmtId="0" fontId="26" fillId="11" borderId="8" applyNumberFormat="0" applyAlignment="0" applyProtection="0"/>
    <xf numFmtId="0" fontId="27" fillId="0" borderId="10" applyNumberFormat="0" applyFill="0" applyAlignment="0" applyProtection="0"/>
    <xf numFmtId="0" fontId="4" fillId="12" borderId="11" applyNumberFormat="0" applyAlignment="0" applyProtection="0"/>
    <xf numFmtId="0" fontId="1" fillId="0" borderId="0" applyNumberFormat="0" applyFill="0" applyBorder="0" applyAlignment="0" applyProtection="0"/>
    <xf numFmtId="0" fontId="16" fillId="13" borderId="12" applyNumberFormat="0" applyFont="0" applyAlignment="0" applyProtection="0"/>
    <xf numFmtId="0" fontId="28" fillId="0" borderId="0" applyNumberFormat="0" applyFill="0" applyBorder="0" applyAlignment="0" applyProtection="0"/>
    <xf numFmtId="0" fontId="8" fillId="0" borderId="13" applyNumberFormat="0" applyFill="0" applyAlignment="0" applyProtection="0"/>
    <xf numFmtId="0" fontId="2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2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2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2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2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2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5" fillId="3" borderId="1" xfId="0" applyFont="1" applyFill="1" applyBorder="1"/>
    <xf numFmtId="0" fontId="4" fillId="2" borderId="1" xfId="0" applyFont="1" applyFill="1" applyBorder="1"/>
    <xf numFmtId="0" fontId="5" fillId="4" borderId="1" xfId="0" applyFont="1" applyFill="1" applyBorder="1"/>
    <xf numFmtId="0" fontId="5" fillId="4" borderId="2" xfId="0" applyFont="1" applyFill="1" applyBorder="1"/>
    <xf numFmtId="0" fontId="0" fillId="0" borderId="0" xfId="0" quotePrefix="1"/>
    <xf numFmtId="20" fontId="0" fillId="0" borderId="0" xfId="0" applyNumberFormat="1"/>
    <xf numFmtId="0" fontId="7" fillId="0" borderId="1" xfId="0" applyFont="1" applyBorder="1"/>
    <xf numFmtId="0" fontId="7" fillId="0" borderId="1" xfId="0" applyFont="1" applyBorder="1" applyAlignment="1">
      <alignment horizontal="left" indent="4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8"/>
    </xf>
    <xf numFmtId="0" fontId="0" fillId="0" borderId="0" xfId="0" applyAlignment="1">
      <alignment horizontal="left" indent="12"/>
    </xf>
    <xf numFmtId="0" fontId="4" fillId="2" borderId="3" xfId="0" applyFont="1" applyFill="1" applyBorder="1"/>
    <xf numFmtId="0" fontId="5" fillId="5" borderId="2" xfId="0" applyFont="1" applyFill="1" applyBorder="1"/>
    <xf numFmtId="0" fontId="5" fillId="5" borderId="1" xfId="0" applyFont="1" applyFill="1" applyBorder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top"/>
    </xf>
    <xf numFmtId="0" fontId="3" fillId="0" borderId="0" xfId="0" applyFont="1"/>
    <xf numFmtId="0" fontId="0" fillId="6" borderId="0" xfId="0" applyFill="1"/>
    <xf numFmtId="0" fontId="2" fillId="39" borderId="0" xfId="0" applyFont="1" applyFill="1"/>
    <xf numFmtId="0" fontId="3" fillId="6" borderId="0" xfId="0" applyFont="1" applyFill="1"/>
    <xf numFmtId="0" fontId="10" fillId="6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1" fillId="38" borderId="0" xfId="0" applyFont="1" applyFill="1" applyAlignment="1">
      <alignment horizontal="center" vertical="center"/>
    </xf>
    <xf numFmtId="0" fontId="7" fillId="0" borderId="0" xfId="0" applyFont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164" fontId="7" fillId="0" borderId="0" xfId="0" applyNumberFormat="1" applyFont="1" applyAlignment="1" applyProtection="1">
      <alignment horizontal="left" vertical="top" wrapText="1"/>
      <protection locked="0"/>
    </xf>
    <xf numFmtId="0" fontId="7" fillId="2" borderId="1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34" fillId="40" borderId="16" xfId="0" applyFont="1" applyFill="1" applyBorder="1" applyAlignment="1" applyProtection="1">
      <alignment horizontal="center" vertical="center" wrapText="1"/>
      <protection locked="0"/>
    </xf>
    <xf numFmtId="0" fontId="33" fillId="0" borderId="0" xfId="0" applyFont="1" applyAlignment="1" applyProtection="1">
      <alignment horizontal="left" vertical="top" wrapText="1"/>
      <protection locked="0"/>
    </xf>
    <xf numFmtId="20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6" borderId="4" xfId="0" applyFill="1" applyBorder="1" applyAlignment="1">
      <alignment horizontal="center" vertical="top" wrapText="1"/>
    </xf>
    <xf numFmtId="0" fontId="0" fillId="6" borderId="14" xfId="0" applyFill="1" applyBorder="1" applyAlignment="1">
      <alignment horizontal="center" vertical="top" wrapText="1"/>
    </xf>
    <xf numFmtId="0" fontId="10" fillId="6" borderId="4" xfId="0" applyFont="1" applyFill="1" applyBorder="1" applyAlignment="1">
      <alignment horizontal="center"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6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top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font>
        <color auto="1"/>
      </font>
      <numFmt numFmtId="164" formatCode="h:mm;@"/>
      <alignment horizontal="left" vertical="top" textRotation="0" wrapText="1" indent="0" justifyLastLine="0" shrinkToFit="0" readingOrder="0"/>
      <protection locked="0" hidden="0"/>
    </dxf>
    <dxf>
      <numFmt numFmtId="164" formatCode="h:mm;@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  <protection locked="0" hidden="0"/>
    </dxf>
    <dxf>
      <alignment horizontal="left" vertical="top" textRotation="0" wrapText="1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99CC"/>
      <color rgb="FFA6F6F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1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722132-9E62-4ED6-9FD9-74D43D52C7B5}" name="Tableau14" displayName="Tableau14" ref="A3:L125" totalsRowShown="0" headerRowDxfId="15">
  <tableColumns count="12">
    <tableColumn id="1" xr3:uid="{1405A393-F405-440A-BC80-4B0BC7E1F3A7}" name="Titre *" dataDxfId="14"/>
    <tableColumn id="5" xr3:uid="{07C03562-364B-45F2-B7AF-46B9E066070E}" name="Formation *" dataDxfId="13"/>
    <tableColumn id="25" xr3:uid="{3D4360D5-5C7C-4882-953E-5DE26B4F8766}" name="Bloc de Compétences *" dataDxfId="12"/>
    <tableColumn id="2" xr3:uid="{42107701-E103-488B-A3A0-5F7A7E0D5B27}" name="Catégorie d'activité *" dataDxfId="11"/>
    <tableColumn id="4" xr3:uid="{32AE76AE-9E74-498B-A1B1-7B7AC20A1D93}" name="Description *" dataDxfId="10"/>
    <tableColumn id="6" xr3:uid="{03D475C0-18DD-429D-8448-64C8624FB13C}" name="Mots clés *" dataDxfId="9"/>
    <tableColumn id="7" xr3:uid="{9A06341A-6030-4D9E-906D-2C19FF4729CC}" name="Durée" dataDxfId="8"/>
    <tableColumn id="24" xr3:uid="{9A166DB3-4510-45AA-8C6D-747B4B6D7C7E}" name="Auteur *" dataDxfId="7"/>
    <tableColumn id="16" xr3:uid="{F9628B88-9BA0-4A1A-A244-3E29734C0DA6}" name="Référence personnelle de la ressource" dataDxfId="6"/>
    <tableColumn id="17" xr3:uid="{DEC02A7B-09BB-43C2-90C3-B357F43B8351}" name="url " dataDxfId="5"/>
    <tableColumn id="23" xr3:uid="{A9500A28-8AC7-41D4-8A05-79EF39A83EAB}" name="Nom exact du fichier à importer" dataDxfId="4"/>
    <tableColumn id="26" xr3:uid="{2D77C111-6B04-4898-9099-83CFAF7197C8}" name="Test sur le remplissage correct des colonnes J et K" dataDxfId="3">
      <calculatedColumnFormula>IF(Tableau14[[#This Row],[url ]]="",IF(Tableau14[[#This Row],[Nom exact du fichier à importer]]="","","OK"),IF(Tableau14[[#This Row],[Nom exact du fichier à importer]]&lt;&gt;"","Complétez qu'une seule colonne (J ou K).","OK"))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F8330C-218A-4980-AEF3-5E15AA06AE72}" name="Tableau2" displayName="Tableau2" ref="A1:B5" totalsRowShown="0" dataDxfId="2">
  <autoFilter ref="A1:B5" xr:uid="{EBF8330C-218A-4980-AEF3-5E15AA06AE72}"/>
  <tableColumns count="2">
    <tableColumn id="1" xr3:uid="{4B36EFAC-1A32-4505-B4B9-71734126A70D}" name="Catégorie" dataDxfId="1"/>
    <tableColumn id="2" xr3:uid="{A3C038C1-FFF6-480D-A228-04246D225F7E}" name="Types possib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4000-B067-42AA-ADAC-3F622CC2783B}">
  <dimension ref="A1:N125"/>
  <sheetViews>
    <sheetView tabSelected="1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C20" sqref="C20"/>
    </sheetView>
  </sheetViews>
  <sheetFormatPr baseColWidth="10" defaultColWidth="42.42578125" defaultRowHeight="15" x14ac:dyDescent="0.25"/>
  <cols>
    <col min="1" max="1" width="40.5703125" customWidth="1"/>
    <col min="3" max="11" width="40.5703125" customWidth="1"/>
    <col min="12" max="13" width="42.42578125" bestFit="1" customWidth="1"/>
    <col min="14" max="14" width="19.85546875" style="26" customWidth="1"/>
    <col min="15" max="15" width="40.5703125" customWidth="1"/>
    <col min="16" max="17" width="42.42578125" bestFit="1" customWidth="1"/>
    <col min="18" max="18" width="38.42578125" bestFit="1" customWidth="1"/>
  </cols>
  <sheetData>
    <row r="1" spans="1:14" s="20" customFormat="1" ht="114" customHeight="1" x14ac:dyDescent="0.25">
      <c r="A1" s="43" t="s">
        <v>328</v>
      </c>
      <c r="B1" s="44" t="s">
        <v>99</v>
      </c>
      <c r="C1" s="25" t="s">
        <v>374</v>
      </c>
      <c r="D1" s="44" t="s">
        <v>99</v>
      </c>
      <c r="E1" s="42" t="s">
        <v>329</v>
      </c>
      <c r="F1" s="42" t="s">
        <v>330</v>
      </c>
      <c r="G1" s="44" t="s">
        <v>388</v>
      </c>
      <c r="H1" s="44" t="s">
        <v>101</v>
      </c>
      <c r="I1" s="42" t="s">
        <v>378</v>
      </c>
      <c r="J1" s="42" t="s">
        <v>381</v>
      </c>
      <c r="K1" s="42" t="s">
        <v>380</v>
      </c>
      <c r="L1" s="42" t="s">
        <v>382</v>
      </c>
    </row>
    <row r="2" spans="1:14" s="20" customFormat="1" x14ac:dyDescent="0.25">
      <c r="A2" s="43"/>
      <c r="B2" s="44"/>
      <c r="C2" s="36" t="s">
        <v>375</v>
      </c>
      <c r="D2" s="44"/>
      <c r="E2" s="42"/>
      <c r="F2" s="42"/>
      <c r="G2" s="44"/>
      <c r="H2" s="44"/>
      <c r="I2" s="42"/>
      <c r="J2" s="42"/>
      <c r="K2" s="42"/>
      <c r="L2" s="42"/>
    </row>
    <row r="3" spans="1:14" s="27" customFormat="1" x14ac:dyDescent="0.25">
      <c r="A3" s="33" t="s">
        <v>51</v>
      </c>
      <c r="B3" s="33" t="s">
        <v>373</v>
      </c>
      <c r="C3" s="32" t="s">
        <v>376</v>
      </c>
      <c r="D3" s="32" t="s">
        <v>338</v>
      </c>
      <c r="E3" s="32" t="s">
        <v>339</v>
      </c>
      <c r="F3" s="32" t="s">
        <v>340</v>
      </c>
      <c r="G3" s="32" t="s">
        <v>389</v>
      </c>
      <c r="H3" s="32" t="s">
        <v>100</v>
      </c>
      <c r="I3" s="32" t="s">
        <v>379</v>
      </c>
      <c r="J3" s="32" t="s">
        <v>102</v>
      </c>
      <c r="K3" s="32" t="s">
        <v>98</v>
      </c>
      <c r="L3" s="28" t="s">
        <v>383</v>
      </c>
    </row>
    <row r="4" spans="1:14" s="27" customFormat="1" x14ac:dyDescent="0.25">
      <c r="A4" s="30"/>
      <c r="B4" s="37"/>
      <c r="C4" s="29"/>
      <c r="D4" s="29"/>
      <c r="E4" s="29"/>
      <c r="F4" s="29"/>
      <c r="G4" s="38"/>
      <c r="H4" s="31"/>
      <c r="I4" s="29"/>
      <c r="J4" s="29"/>
      <c r="K4" s="41"/>
      <c r="L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5" spans="1:14" s="27" customFormat="1" x14ac:dyDescent="0.25">
      <c r="A5" s="30"/>
      <c r="B5" s="37"/>
      <c r="C5" s="29"/>
      <c r="D5" s="29"/>
      <c r="E5" s="29"/>
      <c r="F5" s="29"/>
      <c r="G5" s="38"/>
      <c r="H5" s="31"/>
      <c r="I5" s="29"/>
      <c r="J5" s="29"/>
      <c r="K5" s="41"/>
      <c r="L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6" spans="1:14" x14ac:dyDescent="0.25">
      <c r="A6" s="29"/>
      <c r="B6" s="37"/>
      <c r="C6" s="29"/>
      <c r="D6" s="29"/>
      <c r="E6" s="29"/>
      <c r="F6" s="29"/>
      <c r="G6" s="38"/>
      <c r="H6" s="31"/>
      <c r="I6" s="29"/>
      <c r="J6" s="29"/>
      <c r="K6" s="41"/>
      <c r="L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"/>
    </row>
    <row r="7" spans="1:14" x14ac:dyDescent="0.25">
      <c r="A7" s="29"/>
      <c r="B7" s="37"/>
      <c r="C7" s="29"/>
      <c r="D7" s="29"/>
      <c r="E7" s="29"/>
      <c r="F7" s="29"/>
      <c r="G7" s="38"/>
      <c r="H7" s="31"/>
      <c r="I7" s="29"/>
      <c r="J7" s="29"/>
      <c r="K7" s="41"/>
      <c r="L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"/>
    </row>
    <row r="8" spans="1:14" x14ac:dyDescent="0.25">
      <c r="A8" s="29"/>
      <c r="B8" s="37"/>
      <c r="C8" s="29"/>
      <c r="D8" s="29"/>
      <c r="E8" s="29"/>
      <c r="F8" s="29"/>
      <c r="G8" s="38"/>
      <c r="H8" s="31"/>
      <c r="I8" s="29"/>
      <c r="J8" s="29"/>
      <c r="K8" s="41"/>
      <c r="L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"/>
    </row>
    <row r="9" spans="1:14" x14ac:dyDescent="0.25">
      <c r="A9" s="29"/>
      <c r="B9" s="37"/>
      <c r="C9" s="29"/>
      <c r="D9" s="29"/>
      <c r="E9" s="29"/>
      <c r="F9" s="29"/>
      <c r="G9" s="38"/>
      <c r="H9" s="31"/>
      <c r="I9" s="29"/>
      <c r="J9" s="29"/>
      <c r="K9" s="41"/>
      <c r="L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"/>
    </row>
    <row r="10" spans="1:14" x14ac:dyDescent="0.25">
      <c r="A10" s="29"/>
      <c r="B10" s="37"/>
      <c r="C10" s="29"/>
      <c r="D10" s="29"/>
      <c r="E10" s="29"/>
      <c r="F10" s="29"/>
      <c r="G10" s="38"/>
      <c r="H10" s="31"/>
      <c r="I10" s="29"/>
      <c r="J10" s="29"/>
      <c r="K10" s="41"/>
      <c r="L1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0"/>
    </row>
    <row r="11" spans="1:14" x14ac:dyDescent="0.25">
      <c r="A11" s="29"/>
      <c r="B11" s="37"/>
      <c r="C11" s="29"/>
      <c r="D11" s="29"/>
      <c r="E11" s="29"/>
      <c r="F11" s="29"/>
      <c r="G11" s="38"/>
      <c r="H11" s="31"/>
      <c r="I11" s="29"/>
      <c r="J11" s="29"/>
      <c r="K11" s="41"/>
      <c r="L1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1"/>
    </row>
    <row r="12" spans="1:14" x14ac:dyDescent="0.25">
      <c r="A12" s="29"/>
      <c r="B12" s="37"/>
      <c r="C12" s="29"/>
      <c r="D12" s="29"/>
      <c r="E12" s="29"/>
      <c r="F12" s="29"/>
      <c r="G12" s="38"/>
      <c r="H12" s="31"/>
      <c r="I12" s="29"/>
      <c r="J12" s="29"/>
      <c r="K12" s="41"/>
      <c r="L1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2"/>
    </row>
    <row r="13" spans="1:14" x14ac:dyDescent="0.25">
      <c r="A13" s="29"/>
      <c r="B13" s="37"/>
      <c r="C13" s="29"/>
      <c r="D13" s="29"/>
      <c r="E13" s="29"/>
      <c r="F13" s="29"/>
      <c r="G13" s="38"/>
      <c r="H13" s="31"/>
      <c r="I13" s="29"/>
      <c r="J13" s="29"/>
      <c r="K13" s="41"/>
      <c r="L1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3"/>
    </row>
    <row r="14" spans="1:14" x14ac:dyDescent="0.25">
      <c r="A14" s="29"/>
      <c r="B14" s="37"/>
      <c r="C14" s="29"/>
      <c r="D14" s="29"/>
      <c r="E14" s="29"/>
      <c r="F14" s="29"/>
      <c r="G14" s="38"/>
      <c r="H14" s="31"/>
      <c r="I14" s="29"/>
      <c r="J14" s="29"/>
      <c r="K14" s="41"/>
      <c r="L1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4"/>
    </row>
    <row r="15" spans="1:14" x14ac:dyDescent="0.25">
      <c r="A15" s="29"/>
      <c r="B15" s="37"/>
      <c r="C15" s="29"/>
      <c r="D15" s="29"/>
      <c r="E15" s="29"/>
      <c r="F15" s="29"/>
      <c r="G15" s="38"/>
      <c r="H15" s="31"/>
      <c r="I15" s="29"/>
      <c r="J15" s="29"/>
      <c r="K15" s="41"/>
      <c r="L1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5"/>
    </row>
    <row r="16" spans="1:14" x14ac:dyDescent="0.25">
      <c r="A16" s="29"/>
      <c r="B16" s="37"/>
      <c r="C16" s="29"/>
      <c r="D16" s="29"/>
      <c r="E16" s="29"/>
      <c r="F16" s="29"/>
      <c r="G16" s="38"/>
      <c r="H16" s="31"/>
      <c r="I16" s="29"/>
      <c r="J16" s="29"/>
      <c r="K16" s="41"/>
      <c r="L1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6"/>
    </row>
    <row r="17" spans="1:14" x14ac:dyDescent="0.25">
      <c r="A17" s="29"/>
      <c r="B17" s="37"/>
      <c r="C17" s="29"/>
      <c r="D17" s="29"/>
      <c r="E17" s="29"/>
      <c r="F17" s="29"/>
      <c r="G17" s="38"/>
      <c r="H17" s="31"/>
      <c r="I17" s="29"/>
      <c r="J17" s="29"/>
      <c r="K17" s="41"/>
      <c r="L1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7"/>
    </row>
    <row r="18" spans="1:14" x14ac:dyDescent="0.25">
      <c r="A18" s="29"/>
      <c r="B18" s="37"/>
      <c r="C18" s="29"/>
      <c r="D18" s="29"/>
      <c r="E18" s="29"/>
      <c r="F18" s="29"/>
      <c r="G18" s="38"/>
      <c r="H18" s="31"/>
      <c r="I18" s="29"/>
      <c r="J18" s="29"/>
      <c r="K18" s="41"/>
      <c r="L1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8"/>
    </row>
    <row r="19" spans="1:14" x14ac:dyDescent="0.25">
      <c r="A19" s="29"/>
      <c r="B19" s="37"/>
      <c r="C19" s="29"/>
      <c r="D19" s="29"/>
      <c r="E19" s="29"/>
      <c r="F19" s="29"/>
      <c r="G19" s="38"/>
      <c r="H19" s="31"/>
      <c r="I19" s="29"/>
      <c r="J19" s="29"/>
      <c r="K19" s="41"/>
      <c r="L1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9"/>
    </row>
    <row r="20" spans="1:14" x14ac:dyDescent="0.25">
      <c r="A20" s="29"/>
      <c r="B20" s="37"/>
      <c r="C20" s="29"/>
      <c r="D20" s="29"/>
      <c r="E20" s="29"/>
      <c r="F20" s="29"/>
      <c r="G20" s="38"/>
      <c r="H20" s="31"/>
      <c r="I20" s="29"/>
      <c r="J20" s="29"/>
      <c r="K20" s="41"/>
      <c r="L2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0"/>
    </row>
    <row r="21" spans="1:14" x14ac:dyDescent="0.25">
      <c r="A21" s="29"/>
      <c r="B21" s="37"/>
      <c r="C21" s="29"/>
      <c r="D21" s="29"/>
      <c r="E21" s="29"/>
      <c r="F21" s="29"/>
      <c r="G21" s="38"/>
      <c r="H21" s="31"/>
      <c r="I21" s="29"/>
      <c r="J21" s="29"/>
      <c r="K21" s="41"/>
      <c r="L2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1"/>
    </row>
    <row r="22" spans="1:14" x14ac:dyDescent="0.25">
      <c r="A22" s="29"/>
      <c r="B22" s="37"/>
      <c r="C22" s="29"/>
      <c r="D22" s="29"/>
      <c r="E22" s="29"/>
      <c r="F22" s="29"/>
      <c r="G22" s="38"/>
      <c r="H22" s="31"/>
      <c r="I22" s="29"/>
      <c r="J22" s="29"/>
      <c r="K22" s="41"/>
      <c r="L2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2"/>
    </row>
    <row r="23" spans="1:14" x14ac:dyDescent="0.25">
      <c r="A23" s="29"/>
      <c r="B23" s="37"/>
      <c r="C23" s="29"/>
      <c r="D23" s="29"/>
      <c r="E23" s="29"/>
      <c r="F23" s="29"/>
      <c r="G23" s="38"/>
      <c r="H23" s="31"/>
      <c r="I23" s="29"/>
      <c r="J23" s="29"/>
      <c r="K23" s="41"/>
      <c r="L2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3"/>
    </row>
    <row r="24" spans="1:14" x14ac:dyDescent="0.25">
      <c r="A24" s="29"/>
      <c r="B24" s="37"/>
      <c r="C24" s="29"/>
      <c r="D24" s="29"/>
      <c r="E24" s="29"/>
      <c r="F24" s="29"/>
      <c r="G24" s="38"/>
      <c r="H24" s="31"/>
      <c r="I24" s="29"/>
      <c r="J24" s="29"/>
      <c r="K24" s="41"/>
      <c r="L2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4"/>
    </row>
    <row r="25" spans="1:14" x14ac:dyDescent="0.25">
      <c r="A25" s="29"/>
      <c r="B25" s="37"/>
      <c r="C25" s="29"/>
      <c r="D25" s="29"/>
      <c r="E25" s="29"/>
      <c r="F25" s="29"/>
      <c r="G25" s="38"/>
      <c r="H25" s="31"/>
      <c r="I25" s="29"/>
      <c r="J25" s="29"/>
      <c r="K25" s="41"/>
      <c r="L2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5"/>
    </row>
    <row r="26" spans="1:14" x14ac:dyDescent="0.25">
      <c r="A26" s="29"/>
      <c r="B26" s="37"/>
      <c r="C26" s="29"/>
      <c r="D26" s="29"/>
      <c r="E26" s="29"/>
      <c r="F26" s="29"/>
      <c r="G26" s="38"/>
      <c r="H26" s="31"/>
      <c r="I26" s="29"/>
      <c r="J26" s="29"/>
      <c r="K26" s="41"/>
      <c r="L2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6"/>
    </row>
    <row r="27" spans="1:14" x14ac:dyDescent="0.25">
      <c r="A27" s="29"/>
      <c r="B27" s="37"/>
      <c r="C27" s="29"/>
      <c r="D27" s="29"/>
      <c r="E27" s="29"/>
      <c r="F27" s="29"/>
      <c r="G27" s="38"/>
      <c r="H27" s="29"/>
      <c r="I27" s="29"/>
      <c r="J27" s="29"/>
      <c r="K27" s="41"/>
      <c r="L2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7"/>
    </row>
    <row r="28" spans="1:14" x14ac:dyDescent="0.25">
      <c r="A28" s="29"/>
      <c r="B28" s="37"/>
      <c r="C28" s="29"/>
      <c r="D28" s="29"/>
      <c r="E28" s="29"/>
      <c r="F28" s="29"/>
      <c r="G28" s="38"/>
      <c r="H28" s="29"/>
      <c r="I28" s="29"/>
      <c r="J28" s="29"/>
      <c r="K28" s="41"/>
      <c r="L2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8"/>
    </row>
    <row r="29" spans="1:14" x14ac:dyDescent="0.25">
      <c r="A29" s="29"/>
      <c r="B29" s="37"/>
      <c r="C29" s="29"/>
      <c r="D29" s="29"/>
      <c r="E29" s="29"/>
      <c r="F29" s="29"/>
      <c r="G29" s="38"/>
      <c r="H29" s="29"/>
      <c r="I29" s="29"/>
      <c r="J29" s="29"/>
      <c r="K29" s="41"/>
      <c r="L2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29"/>
    </row>
    <row r="30" spans="1:14" x14ac:dyDescent="0.25">
      <c r="A30" s="29"/>
      <c r="B30" s="37"/>
      <c r="C30" s="29"/>
      <c r="D30" s="29"/>
      <c r="E30" s="29"/>
      <c r="F30" s="29"/>
      <c r="G30" s="38"/>
      <c r="H30" s="29"/>
      <c r="I30" s="29"/>
      <c r="J30" s="29"/>
      <c r="K30" s="41"/>
      <c r="L3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0"/>
    </row>
    <row r="31" spans="1:14" x14ac:dyDescent="0.25">
      <c r="A31" s="29"/>
      <c r="B31" s="37"/>
      <c r="C31" s="29"/>
      <c r="D31" s="29"/>
      <c r="E31" s="29"/>
      <c r="F31" s="29"/>
      <c r="G31" s="38"/>
      <c r="H31" s="29"/>
      <c r="I31" s="29"/>
      <c r="J31" s="29"/>
      <c r="K31" s="41"/>
      <c r="L3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1"/>
    </row>
    <row r="32" spans="1:14" x14ac:dyDescent="0.25">
      <c r="A32" s="29"/>
      <c r="B32" s="37"/>
      <c r="C32" s="29"/>
      <c r="D32" s="29"/>
      <c r="E32" s="29"/>
      <c r="F32" s="29"/>
      <c r="G32" s="38"/>
      <c r="H32" s="29"/>
      <c r="I32" s="29"/>
      <c r="J32" s="29"/>
      <c r="K32" s="41"/>
      <c r="L3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2"/>
    </row>
    <row r="33" spans="1:14" x14ac:dyDescent="0.25">
      <c r="A33" s="29"/>
      <c r="B33" s="37"/>
      <c r="C33" s="29"/>
      <c r="D33" s="29"/>
      <c r="E33" s="29"/>
      <c r="F33" s="29"/>
      <c r="G33" s="38"/>
      <c r="H33" s="29"/>
      <c r="I33" s="29"/>
      <c r="J33" s="29"/>
      <c r="K33" s="41"/>
      <c r="L3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3"/>
    </row>
    <row r="34" spans="1:14" x14ac:dyDescent="0.25">
      <c r="A34" s="29"/>
      <c r="B34" s="37"/>
      <c r="C34" s="29"/>
      <c r="D34" s="29"/>
      <c r="E34" s="29"/>
      <c r="F34" s="29"/>
      <c r="G34" s="38"/>
      <c r="H34" s="29"/>
      <c r="I34" s="29"/>
      <c r="J34" s="29"/>
      <c r="K34" s="41"/>
      <c r="L3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4"/>
    </row>
    <row r="35" spans="1:14" x14ac:dyDescent="0.25">
      <c r="A35" s="29"/>
      <c r="B35" s="37"/>
      <c r="C35" s="29"/>
      <c r="D35" s="29"/>
      <c r="E35" s="29"/>
      <c r="F35" s="29"/>
      <c r="G35" s="38"/>
      <c r="H35" s="29"/>
      <c r="I35" s="29"/>
      <c r="J35" s="29"/>
      <c r="K35" s="41"/>
      <c r="L3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5"/>
    </row>
    <row r="36" spans="1:14" x14ac:dyDescent="0.25">
      <c r="A36" s="29"/>
      <c r="B36" s="37"/>
      <c r="C36" s="29"/>
      <c r="D36" s="29"/>
      <c r="E36" s="29"/>
      <c r="F36" s="29"/>
      <c r="G36" s="38"/>
      <c r="H36" s="29"/>
      <c r="I36" s="29"/>
      <c r="J36" s="29"/>
      <c r="K36" s="41"/>
      <c r="L3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6"/>
    </row>
    <row r="37" spans="1:14" x14ac:dyDescent="0.25">
      <c r="A37" s="29"/>
      <c r="B37" s="37"/>
      <c r="C37" s="29"/>
      <c r="D37" s="29"/>
      <c r="E37" s="29"/>
      <c r="F37" s="29"/>
      <c r="G37" s="38"/>
      <c r="H37" s="29"/>
      <c r="I37" s="29"/>
      <c r="J37" s="29"/>
      <c r="K37" s="41"/>
      <c r="L3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7"/>
    </row>
    <row r="38" spans="1:14" x14ac:dyDescent="0.25">
      <c r="A38" s="29"/>
      <c r="B38" s="37"/>
      <c r="C38" s="29"/>
      <c r="D38" s="29"/>
      <c r="E38" s="29"/>
      <c r="F38" s="29"/>
      <c r="G38" s="38"/>
      <c r="H38" s="29"/>
      <c r="I38" s="29"/>
      <c r="J38" s="29"/>
      <c r="K38" s="41"/>
      <c r="L3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8"/>
    </row>
    <row r="39" spans="1:14" x14ac:dyDescent="0.25">
      <c r="A39" s="29"/>
      <c r="B39" s="37"/>
      <c r="C39" s="29"/>
      <c r="D39" s="29"/>
      <c r="E39" s="29"/>
      <c r="F39" s="29"/>
      <c r="G39" s="38"/>
      <c r="H39" s="29"/>
      <c r="I39" s="29"/>
      <c r="J39" s="29"/>
      <c r="K39" s="41"/>
      <c r="L3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39"/>
    </row>
    <row r="40" spans="1:14" x14ac:dyDescent="0.25">
      <c r="A40" s="29"/>
      <c r="B40" s="37"/>
      <c r="C40" s="29"/>
      <c r="D40" s="29"/>
      <c r="E40" s="29"/>
      <c r="F40" s="29"/>
      <c r="G40" s="38"/>
      <c r="H40" s="29"/>
      <c r="I40" s="29"/>
      <c r="J40" s="29"/>
      <c r="K40" s="41"/>
      <c r="L4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0"/>
    </row>
    <row r="41" spans="1:14" x14ac:dyDescent="0.25">
      <c r="A41" s="29"/>
      <c r="B41" s="37"/>
      <c r="C41" s="29"/>
      <c r="D41" s="29"/>
      <c r="E41" s="29"/>
      <c r="F41" s="29"/>
      <c r="G41" s="38"/>
      <c r="H41" s="29"/>
      <c r="I41" s="29"/>
      <c r="J41" s="29"/>
      <c r="K41" s="41"/>
      <c r="L4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1"/>
    </row>
    <row r="42" spans="1:14" x14ac:dyDescent="0.25">
      <c r="A42" s="29"/>
      <c r="B42" s="37"/>
      <c r="C42" s="29"/>
      <c r="D42" s="29"/>
      <c r="E42" s="29"/>
      <c r="F42" s="29"/>
      <c r="G42" s="38"/>
      <c r="H42" s="29"/>
      <c r="I42" s="29"/>
      <c r="J42" s="29"/>
      <c r="K42" s="41"/>
      <c r="L4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2"/>
    </row>
    <row r="43" spans="1:14" x14ac:dyDescent="0.25">
      <c r="A43" s="29"/>
      <c r="B43" s="37"/>
      <c r="C43" s="29"/>
      <c r="D43" s="29"/>
      <c r="E43" s="29"/>
      <c r="F43" s="29"/>
      <c r="G43" s="38"/>
      <c r="H43" s="29"/>
      <c r="I43" s="29"/>
      <c r="J43" s="29"/>
      <c r="K43" s="41"/>
      <c r="L4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3"/>
    </row>
    <row r="44" spans="1:14" x14ac:dyDescent="0.25">
      <c r="A44" s="29"/>
      <c r="B44" s="37"/>
      <c r="C44" s="29"/>
      <c r="D44" s="29"/>
      <c r="E44" s="29"/>
      <c r="F44" s="29"/>
      <c r="G44" s="38"/>
      <c r="H44" s="29"/>
      <c r="I44" s="29"/>
      <c r="J44" s="29"/>
      <c r="K44" s="41"/>
      <c r="L4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4"/>
    </row>
    <row r="45" spans="1:14" x14ac:dyDescent="0.25">
      <c r="A45" s="29"/>
      <c r="B45" s="37"/>
      <c r="C45" s="29"/>
      <c r="D45" s="29"/>
      <c r="E45" s="29"/>
      <c r="F45" s="29"/>
      <c r="G45" s="38"/>
      <c r="H45" s="29"/>
      <c r="I45" s="29"/>
      <c r="J45" s="29"/>
      <c r="K45" s="41"/>
      <c r="L4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5"/>
    </row>
    <row r="46" spans="1:14" x14ac:dyDescent="0.25">
      <c r="A46" s="29"/>
      <c r="B46" s="37"/>
      <c r="C46" s="29"/>
      <c r="D46" s="29"/>
      <c r="E46" s="29"/>
      <c r="F46" s="29"/>
      <c r="G46" s="38"/>
      <c r="H46" s="29"/>
      <c r="I46" s="29"/>
      <c r="J46" s="29"/>
      <c r="K46" s="41"/>
      <c r="L4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6"/>
    </row>
    <row r="47" spans="1:14" x14ac:dyDescent="0.25">
      <c r="A47" s="29"/>
      <c r="B47" s="37"/>
      <c r="C47" s="29"/>
      <c r="D47" s="29"/>
      <c r="E47" s="29"/>
      <c r="F47" s="29"/>
      <c r="G47" s="38"/>
      <c r="H47" s="29"/>
      <c r="I47" s="29"/>
      <c r="J47" s="29"/>
      <c r="K47" s="41"/>
      <c r="L4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7"/>
    </row>
    <row r="48" spans="1:14" x14ac:dyDescent="0.25">
      <c r="A48" s="29"/>
      <c r="B48" s="37"/>
      <c r="C48" s="29"/>
      <c r="D48" s="29"/>
      <c r="E48" s="29"/>
      <c r="F48" s="29"/>
      <c r="G48" s="38"/>
      <c r="H48" s="29"/>
      <c r="I48" s="29"/>
      <c r="J48" s="29"/>
      <c r="K48" s="41"/>
      <c r="L4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8"/>
    </row>
    <row r="49" spans="1:14" x14ac:dyDescent="0.25">
      <c r="A49" s="29"/>
      <c r="B49" s="37"/>
      <c r="C49" s="29"/>
      <c r="D49" s="29"/>
      <c r="E49" s="29"/>
      <c r="F49" s="29"/>
      <c r="G49" s="38"/>
      <c r="H49" s="29"/>
      <c r="I49" s="29"/>
      <c r="J49" s="29"/>
      <c r="K49" s="41"/>
      <c r="L4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49"/>
    </row>
    <row r="50" spans="1:14" x14ac:dyDescent="0.25">
      <c r="A50" s="29"/>
      <c r="B50" s="37"/>
      <c r="C50" s="29"/>
      <c r="D50" s="29"/>
      <c r="E50" s="29"/>
      <c r="F50" s="29"/>
      <c r="G50" s="38"/>
      <c r="H50" s="29"/>
      <c r="I50" s="29"/>
      <c r="J50" s="29"/>
      <c r="K50" s="41"/>
      <c r="L5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0"/>
    </row>
    <row r="51" spans="1:14" x14ac:dyDescent="0.25">
      <c r="A51" s="29"/>
      <c r="B51" s="37"/>
      <c r="C51" s="29"/>
      <c r="D51" s="29"/>
      <c r="E51" s="29"/>
      <c r="F51" s="29"/>
      <c r="G51" s="38"/>
      <c r="H51" s="29"/>
      <c r="I51" s="29"/>
      <c r="J51" s="29"/>
      <c r="K51" s="41"/>
      <c r="L5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1"/>
    </row>
    <row r="52" spans="1:14" x14ac:dyDescent="0.25">
      <c r="A52" s="29"/>
      <c r="B52" s="37"/>
      <c r="C52" s="29"/>
      <c r="D52" s="29"/>
      <c r="E52" s="29"/>
      <c r="F52" s="29"/>
      <c r="G52" s="38"/>
      <c r="H52" s="29"/>
      <c r="I52" s="29"/>
      <c r="J52" s="29"/>
      <c r="K52" s="41"/>
      <c r="L5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2"/>
    </row>
    <row r="53" spans="1:14" x14ac:dyDescent="0.25">
      <c r="A53" s="29"/>
      <c r="B53" s="37"/>
      <c r="C53" s="29"/>
      <c r="D53" s="29"/>
      <c r="E53" s="29"/>
      <c r="F53" s="29"/>
      <c r="G53" s="38"/>
      <c r="H53" s="29"/>
      <c r="I53" s="29"/>
      <c r="J53" s="29"/>
      <c r="K53" s="41"/>
      <c r="L5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3"/>
    </row>
    <row r="54" spans="1:14" x14ac:dyDescent="0.25">
      <c r="A54" s="29"/>
      <c r="B54" s="37"/>
      <c r="C54" s="29"/>
      <c r="D54" s="29"/>
      <c r="E54" s="29"/>
      <c r="F54" s="29"/>
      <c r="G54" s="38"/>
      <c r="H54" s="29"/>
      <c r="I54" s="29"/>
      <c r="J54" s="29"/>
      <c r="K54" s="41"/>
      <c r="L5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4"/>
    </row>
    <row r="55" spans="1:14" x14ac:dyDescent="0.25">
      <c r="A55" s="29"/>
      <c r="B55" s="37"/>
      <c r="C55" s="29"/>
      <c r="D55" s="29"/>
      <c r="E55" s="29"/>
      <c r="F55" s="29"/>
      <c r="G55" s="38"/>
      <c r="H55" s="29"/>
      <c r="I55" s="29"/>
      <c r="J55" s="29"/>
      <c r="K55" s="41"/>
      <c r="L5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5"/>
    </row>
    <row r="56" spans="1:14" x14ac:dyDescent="0.25">
      <c r="A56" s="29"/>
      <c r="B56" s="37"/>
      <c r="C56" s="29"/>
      <c r="D56" s="29"/>
      <c r="E56" s="29"/>
      <c r="F56" s="29"/>
      <c r="G56" s="38"/>
      <c r="H56" s="29"/>
      <c r="I56" s="29"/>
      <c r="J56" s="29"/>
      <c r="K56" s="41"/>
      <c r="L5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6"/>
    </row>
    <row r="57" spans="1:14" x14ac:dyDescent="0.25">
      <c r="A57" s="29"/>
      <c r="B57" s="37"/>
      <c r="C57" s="29"/>
      <c r="D57" s="29"/>
      <c r="E57" s="29"/>
      <c r="F57" s="29"/>
      <c r="G57" s="38"/>
      <c r="H57" s="29"/>
      <c r="I57" s="29"/>
      <c r="J57" s="29"/>
      <c r="K57" s="41"/>
      <c r="L5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7"/>
    </row>
    <row r="58" spans="1:14" x14ac:dyDescent="0.25">
      <c r="A58" s="29"/>
      <c r="B58" s="37"/>
      <c r="C58" s="29"/>
      <c r="D58" s="29"/>
      <c r="E58" s="29"/>
      <c r="F58" s="29"/>
      <c r="G58" s="38"/>
      <c r="H58" s="29"/>
      <c r="I58" s="29"/>
      <c r="J58" s="29"/>
      <c r="K58" s="41"/>
      <c r="L5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8"/>
    </row>
    <row r="59" spans="1:14" x14ac:dyDescent="0.25">
      <c r="A59" s="29"/>
      <c r="B59" s="37"/>
      <c r="C59" s="29"/>
      <c r="D59" s="29"/>
      <c r="E59" s="29"/>
      <c r="F59" s="29"/>
      <c r="G59" s="38"/>
      <c r="H59" s="29"/>
      <c r="I59" s="29"/>
      <c r="J59" s="29"/>
      <c r="K59" s="41"/>
      <c r="L5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59"/>
    </row>
    <row r="60" spans="1:14" x14ac:dyDescent="0.25">
      <c r="A60" s="29"/>
      <c r="B60" s="37"/>
      <c r="C60" s="29"/>
      <c r="D60" s="29"/>
      <c r="E60" s="29"/>
      <c r="F60" s="29"/>
      <c r="G60" s="38"/>
      <c r="H60" s="29"/>
      <c r="I60" s="29"/>
      <c r="J60" s="29"/>
      <c r="K60" s="41"/>
      <c r="L6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0"/>
    </row>
    <row r="61" spans="1:14" x14ac:dyDescent="0.25">
      <c r="A61" s="29"/>
      <c r="B61" s="37"/>
      <c r="C61" s="29"/>
      <c r="D61" s="29"/>
      <c r="E61" s="29"/>
      <c r="F61" s="29"/>
      <c r="G61" s="38"/>
      <c r="H61" s="29"/>
      <c r="I61" s="29"/>
      <c r="J61" s="29"/>
      <c r="K61" s="41"/>
      <c r="L6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1"/>
    </row>
    <row r="62" spans="1:14" x14ac:dyDescent="0.25">
      <c r="A62" s="29"/>
      <c r="B62" s="37"/>
      <c r="C62" s="29"/>
      <c r="D62" s="29"/>
      <c r="E62" s="29"/>
      <c r="F62" s="29"/>
      <c r="G62" s="38"/>
      <c r="H62" s="29"/>
      <c r="I62" s="29"/>
      <c r="J62" s="29"/>
      <c r="K62" s="41"/>
      <c r="L6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2"/>
    </row>
    <row r="63" spans="1:14" x14ac:dyDescent="0.25">
      <c r="A63" s="29"/>
      <c r="B63" s="37"/>
      <c r="C63" s="29"/>
      <c r="D63" s="29"/>
      <c r="E63" s="29"/>
      <c r="F63" s="29"/>
      <c r="G63" s="38"/>
      <c r="H63" s="29"/>
      <c r="I63" s="29"/>
      <c r="J63" s="29"/>
      <c r="K63" s="41"/>
      <c r="L6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3"/>
    </row>
    <row r="64" spans="1:14" x14ac:dyDescent="0.25">
      <c r="A64" s="29"/>
      <c r="B64" s="37"/>
      <c r="C64" s="29"/>
      <c r="D64" s="29"/>
      <c r="E64" s="29"/>
      <c r="F64" s="29"/>
      <c r="G64" s="38"/>
      <c r="H64" s="29"/>
      <c r="I64" s="29"/>
      <c r="J64" s="29"/>
      <c r="K64" s="41"/>
      <c r="L6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4"/>
    </row>
    <row r="65" spans="1:14" x14ac:dyDescent="0.25">
      <c r="A65" s="29"/>
      <c r="B65" s="37"/>
      <c r="C65" s="29"/>
      <c r="D65" s="29"/>
      <c r="E65" s="29"/>
      <c r="F65" s="29"/>
      <c r="G65" s="38"/>
      <c r="H65" s="29"/>
      <c r="I65" s="29"/>
      <c r="J65" s="29"/>
      <c r="K65" s="41"/>
      <c r="L6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5"/>
    </row>
    <row r="66" spans="1:14" x14ac:dyDescent="0.25">
      <c r="A66" s="29"/>
      <c r="B66" s="37"/>
      <c r="C66" s="29"/>
      <c r="D66" s="29"/>
      <c r="E66" s="29"/>
      <c r="F66" s="29"/>
      <c r="G66" s="38"/>
      <c r="H66" s="29"/>
      <c r="I66" s="29"/>
      <c r="J66" s="29"/>
      <c r="K66" s="41"/>
      <c r="L6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6"/>
    </row>
    <row r="67" spans="1:14" x14ac:dyDescent="0.25">
      <c r="A67" s="29"/>
      <c r="B67" s="37"/>
      <c r="C67" s="29"/>
      <c r="D67" s="29"/>
      <c r="E67" s="29"/>
      <c r="F67" s="29"/>
      <c r="G67" s="38"/>
      <c r="H67" s="29"/>
      <c r="I67" s="29"/>
      <c r="J67" s="29"/>
      <c r="K67" s="41"/>
      <c r="L6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7"/>
    </row>
    <row r="68" spans="1:14" x14ac:dyDescent="0.25">
      <c r="A68" s="29"/>
      <c r="B68" s="37"/>
      <c r="C68" s="29"/>
      <c r="D68" s="29"/>
      <c r="E68" s="29"/>
      <c r="F68" s="29"/>
      <c r="G68" s="38"/>
      <c r="H68" s="29"/>
      <c r="I68" s="29"/>
      <c r="J68" s="29"/>
      <c r="K68" s="41"/>
      <c r="L6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8"/>
    </row>
    <row r="69" spans="1:14" x14ac:dyDescent="0.25">
      <c r="A69" s="29"/>
      <c r="B69" s="37"/>
      <c r="C69" s="29"/>
      <c r="D69" s="29"/>
      <c r="E69" s="29"/>
      <c r="F69" s="29"/>
      <c r="G69" s="38"/>
      <c r="H69" s="29"/>
      <c r="I69" s="29"/>
      <c r="J69" s="29"/>
      <c r="K69" s="41"/>
      <c r="L6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69"/>
    </row>
    <row r="70" spans="1:14" x14ac:dyDescent="0.25">
      <c r="A70" s="29"/>
      <c r="B70" s="37"/>
      <c r="C70" s="29"/>
      <c r="D70" s="29"/>
      <c r="E70" s="29"/>
      <c r="F70" s="29"/>
      <c r="G70" s="38"/>
      <c r="H70" s="29"/>
      <c r="I70" s="29"/>
      <c r="J70" s="29"/>
      <c r="K70" s="41"/>
      <c r="L7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0"/>
    </row>
    <row r="71" spans="1:14" x14ac:dyDescent="0.25">
      <c r="A71" s="29"/>
      <c r="B71" s="37"/>
      <c r="C71" s="29"/>
      <c r="D71" s="29"/>
      <c r="E71" s="29"/>
      <c r="F71" s="29"/>
      <c r="G71" s="38"/>
      <c r="H71" s="29"/>
      <c r="I71" s="29"/>
      <c r="J71" s="29"/>
      <c r="K71" s="41"/>
      <c r="L7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1"/>
    </row>
    <row r="72" spans="1:14" x14ac:dyDescent="0.25">
      <c r="A72" s="29"/>
      <c r="B72" s="37"/>
      <c r="C72" s="29"/>
      <c r="D72" s="29"/>
      <c r="E72" s="29"/>
      <c r="F72" s="29"/>
      <c r="G72" s="38"/>
      <c r="H72" s="29"/>
      <c r="I72" s="29"/>
      <c r="J72" s="29"/>
      <c r="K72" s="41"/>
      <c r="L7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2"/>
    </row>
    <row r="73" spans="1:14" x14ac:dyDescent="0.25">
      <c r="A73" s="29"/>
      <c r="B73" s="37"/>
      <c r="C73" s="29"/>
      <c r="D73" s="29"/>
      <c r="E73" s="29"/>
      <c r="F73" s="29"/>
      <c r="G73" s="38"/>
      <c r="H73" s="29"/>
      <c r="I73" s="29"/>
      <c r="J73" s="29"/>
      <c r="K73" s="41"/>
      <c r="L7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3"/>
    </row>
    <row r="74" spans="1:14" x14ac:dyDescent="0.25">
      <c r="A74" s="29"/>
      <c r="B74" s="37"/>
      <c r="C74" s="29"/>
      <c r="D74" s="29"/>
      <c r="E74" s="29"/>
      <c r="F74" s="29"/>
      <c r="G74" s="38"/>
      <c r="H74" s="29"/>
      <c r="I74" s="29"/>
      <c r="J74" s="29"/>
      <c r="K74" s="41"/>
      <c r="L7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4"/>
    </row>
    <row r="75" spans="1:14" x14ac:dyDescent="0.25">
      <c r="A75" s="29"/>
      <c r="B75" s="37"/>
      <c r="C75" s="29"/>
      <c r="D75" s="29"/>
      <c r="E75" s="29"/>
      <c r="F75" s="29"/>
      <c r="G75" s="38"/>
      <c r="H75" s="29"/>
      <c r="I75" s="29"/>
      <c r="J75" s="29"/>
      <c r="K75" s="41"/>
      <c r="L7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5"/>
    </row>
    <row r="76" spans="1:14" x14ac:dyDescent="0.25">
      <c r="A76" s="29"/>
      <c r="B76" s="37"/>
      <c r="C76" s="29"/>
      <c r="D76" s="29"/>
      <c r="E76" s="29"/>
      <c r="F76" s="29"/>
      <c r="G76" s="38"/>
      <c r="H76" s="29"/>
      <c r="I76" s="29"/>
      <c r="J76" s="29"/>
      <c r="K76" s="41"/>
      <c r="L7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6"/>
    </row>
    <row r="77" spans="1:14" x14ac:dyDescent="0.25">
      <c r="A77" s="29"/>
      <c r="B77" s="37"/>
      <c r="C77" s="29"/>
      <c r="D77" s="29"/>
      <c r="E77" s="29"/>
      <c r="F77" s="29"/>
      <c r="G77" s="38"/>
      <c r="H77" s="29"/>
      <c r="I77" s="29"/>
      <c r="J77" s="29"/>
      <c r="K77" s="41"/>
      <c r="L7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7"/>
    </row>
    <row r="78" spans="1:14" x14ac:dyDescent="0.25">
      <c r="A78" s="29"/>
      <c r="B78" s="37"/>
      <c r="C78" s="29"/>
      <c r="D78" s="29"/>
      <c r="E78" s="29"/>
      <c r="F78" s="29"/>
      <c r="G78" s="38"/>
      <c r="H78" s="29"/>
      <c r="I78" s="29"/>
      <c r="J78" s="29"/>
      <c r="K78" s="41"/>
      <c r="L7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8"/>
    </row>
    <row r="79" spans="1:14" x14ac:dyDescent="0.25">
      <c r="A79" s="29"/>
      <c r="B79" s="37"/>
      <c r="C79" s="29"/>
      <c r="D79" s="29"/>
      <c r="E79" s="29"/>
      <c r="F79" s="29"/>
      <c r="G79" s="38"/>
      <c r="H79" s="29"/>
      <c r="I79" s="29"/>
      <c r="J79" s="29"/>
      <c r="K79" s="41"/>
      <c r="L7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79"/>
    </row>
    <row r="80" spans="1:14" x14ac:dyDescent="0.25">
      <c r="A80" s="29"/>
      <c r="B80" s="37"/>
      <c r="C80" s="29"/>
      <c r="D80" s="29"/>
      <c r="E80" s="29"/>
      <c r="F80" s="29"/>
      <c r="G80" s="38"/>
      <c r="H80" s="29"/>
      <c r="I80" s="29"/>
      <c r="J80" s="29"/>
      <c r="K80" s="41"/>
      <c r="L8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0"/>
    </row>
    <row r="81" spans="1:14" x14ac:dyDescent="0.25">
      <c r="A81" s="29"/>
      <c r="B81" s="37"/>
      <c r="C81" s="29"/>
      <c r="D81" s="29"/>
      <c r="E81" s="29"/>
      <c r="F81" s="29"/>
      <c r="G81" s="38"/>
      <c r="H81" s="29"/>
      <c r="I81" s="29"/>
      <c r="J81" s="29"/>
      <c r="K81" s="41"/>
      <c r="L8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1"/>
    </row>
    <row r="82" spans="1:14" x14ac:dyDescent="0.25">
      <c r="A82" s="29"/>
      <c r="B82" s="37"/>
      <c r="C82" s="29"/>
      <c r="D82" s="29"/>
      <c r="E82" s="29"/>
      <c r="F82" s="29"/>
      <c r="G82" s="38"/>
      <c r="H82" s="29"/>
      <c r="I82" s="29"/>
      <c r="J82" s="29"/>
      <c r="K82" s="41"/>
      <c r="L8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2"/>
    </row>
    <row r="83" spans="1:14" x14ac:dyDescent="0.25">
      <c r="A83" s="29"/>
      <c r="B83" s="37"/>
      <c r="C83" s="29"/>
      <c r="D83" s="29"/>
      <c r="E83" s="29"/>
      <c r="F83" s="29"/>
      <c r="G83" s="38"/>
      <c r="H83" s="29"/>
      <c r="I83" s="29"/>
      <c r="J83" s="29"/>
      <c r="K83" s="41"/>
      <c r="L8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3"/>
    </row>
    <row r="84" spans="1:14" x14ac:dyDescent="0.25">
      <c r="A84" s="29"/>
      <c r="B84" s="37"/>
      <c r="C84" s="29"/>
      <c r="D84" s="29"/>
      <c r="E84" s="29"/>
      <c r="F84" s="29"/>
      <c r="G84" s="38"/>
      <c r="H84" s="29"/>
      <c r="I84" s="29"/>
      <c r="J84" s="29"/>
      <c r="K84" s="41"/>
      <c r="L8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4"/>
    </row>
    <row r="85" spans="1:14" x14ac:dyDescent="0.25">
      <c r="A85" s="29"/>
      <c r="B85" s="37"/>
      <c r="C85" s="29"/>
      <c r="D85" s="29"/>
      <c r="E85" s="29"/>
      <c r="F85" s="29"/>
      <c r="G85" s="38"/>
      <c r="H85" s="29"/>
      <c r="I85" s="29"/>
      <c r="J85" s="29"/>
      <c r="K85" s="41"/>
      <c r="L8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5"/>
    </row>
    <row r="86" spans="1:14" x14ac:dyDescent="0.25">
      <c r="A86" s="29"/>
      <c r="B86" s="37"/>
      <c r="C86" s="29"/>
      <c r="D86" s="29"/>
      <c r="E86" s="29"/>
      <c r="F86" s="29"/>
      <c r="G86" s="38"/>
      <c r="H86" s="29"/>
      <c r="I86" s="29"/>
      <c r="J86" s="29"/>
      <c r="K86" s="41"/>
      <c r="L8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6"/>
    </row>
    <row r="87" spans="1:14" x14ac:dyDescent="0.25">
      <c r="A87" s="29"/>
      <c r="B87" s="37"/>
      <c r="C87" s="29"/>
      <c r="D87" s="29"/>
      <c r="E87" s="29"/>
      <c r="F87" s="29"/>
      <c r="G87" s="38"/>
      <c r="H87" s="29"/>
      <c r="I87" s="29"/>
      <c r="J87" s="29"/>
      <c r="K87" s="41"/>
      <c r="L8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7"/>
    </row>
    <row r="88" spans="1:14" x14ac:dyDescent="0.25">
      <c r="A88" s="29"/>
      <c r="B88" s="37"/>
      <c r="C88" s="29"/>
      <c r="D88" s="29"/>
      <c r="E88" s="29"/>
      <c r="F88" s="29"/>
      <c r="G88" s="38"/>
      <c r="H88" s="29"/>
      <c r="I88" s="29"/>
      <c r="J88" s="29"/>
      <c r="K88" s="41"/>
      <c r="L8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8"/>
    </row>
    <row r="89" spans="1:14" x14ac:dyDescent="0.25">
      <c r="A89" s="29"/>
      <c r="B89" s="37"/>
      <c r="C89" s="29"/>
      <c r="D89" s="29"/>
      <c r="E89" s="29"/>
      <c r="F89" s="29"/>
      <c r="G89" s="38"/>
      <c r="H89" s="29"/>
      <c r="I89" s="29"/>
      <c r="J89" s="29"/>
      <c r="K89" s="41"/>
      <c r="L8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89"/>
    </row>
    <row r="90" spans="1:14" x14ac:dyDescent="0.25">
      <c r="A90" s="29"/>
      <c r="B90" s="37"/>
      <c r="C90" s="29"/>
      <c r="D90" s="29"/>
      <c r="E90" s="29"/>
      <c r="F90" s="29"/>
      <c r="G90" s="38"/>
      <c r="H90" s="29"/>
      <c r="I90" s="29"/>
      <c r="J90" s="29"/>
      <c r="K90" s="41"/>
      <c r="L9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0"/>
    </row>
    <row r="91" spans="1:14" x14ac:dyDescent="0.25">
      <c r="A91" s="29"/>
      <c r="B91" s="37"/>
      <c r="C91" s="29"/>
      <c r="D91" s="29"/>
      <c r="E91" s="29"/>
      <c r="F91" s="29"/>
      <c r="G91" s="38"/>
      <c r="H91" s="29"/>
      <c r="I91" s="29"/>
      <c r="J91" s="29"/>
      <c r="K91" s="41"/>
      <c r="L9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1"/>
    </row>
    <row r="92" spans="1:14" x14ac:dyDescent="0.25">
      <c r="A92" s="29"/>
      <c r="B92" s="37"/>
      <c r="C92" s="29"/>
      <c r="D92" s="29"/>
      <c r="E92" s="29"/>
      <c r="F92" s="29"/>
      <c r="G92" s="38"/>
      <c r="H92" s="29"/>
      <c r="I92" s="29"/>
      <c r="J92" s="29"/>
      <c r="K92" s="41"/>
      <c r="L92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2"/>
    </row>
    <row r="93" spans="1:14" x14ac:dyDescent="0.25">
      <c r="A93" s="29"/>
      <c r="B93" s="37"/>
      <c r="C93" s="29"/>
      <c r="D93" s="29"/>
      <c r="E93" s="29"/>
      <c r="F93" s="29"/>
      <c r="G93" s="38"/>
      <c r="H93" s="29"/>
      <c r="I93" s="29"/>
      <c r="J93" s="29"/>
      <c r="K93" s="41"/>
      <c r="L93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3"/>
    </row>
    <row r="94" spans="1:14" x14ac:dyDescent="0.25">
      <c r="A94" s="29"/>
      <c r="B94" s="37"/>
      <c r="C94" s="29"/>
      <c r="D94" s="29"/>
      <c r="E94" s="29"/>
      <c r="F94" s="29"/>
      <c r="G94" s="38"/>
      <c r="H94" s="29"/>
      <c r="I94" s="29"/>
      <c r="J94" s="29"/>
      <c r="K94" s="41"/>
      <c r="L94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4"/>
    </row>
    <row r="95" spans="1:14" x14ac:dyDescent="0.25">
      <c r="A95" s="29"/>
      <c r="B95" s="37"/>
      <c r="C95" s="29"/>
      <c r="D95" s="29"/>
      <c r="E95" s="29"/>
      <c r="F95" s="29"/>
      <c r="G95" s="38"/>
      <c r="H95" s="29"/>
      <c r="I95" s="29"/>
      <c r="J95" s="29"/>
      <c r="K95" s="41"/>
      <c r="L95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5"/>
    </row>
    <row r="96" spans="1:14" x14ac:dyDescent="0.25">
      <c r="A96" s="29"/>
      <c r="B96" s="37"/>
      <c r="C96" s="29"/>
      <c r="D96" s="29"/>
      <c r="E96" s="29"/>
      <c r="F96" s="29"/>
      <c r="G96" s="38"/>
      <c r="H96" s="29"/>
      <c r="I96" s="29"/>
      <c r="J96" s="29"/>
      <c r="K96" s="41"/>
      <c r="L96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6"/>
    </row>
    <row r="97" spans="1:14" x14ac:dyDescent="0.25">
      <c r="A97" s="29"/>
      <c r="B97" s="37"/>
      <c r="C97" s="29"/>
      <c r="D97" s="29"/>
      <c r="E97" s="29"/>
      <c r="F97" s="29"/>
      <c r="G97" s="38"/>
      <c r="H97" s="29"/>
      <c r="I97" s="29"/>
      <c r="J97" s="29"/>
      <c r="K97" s="41"/>
      <c r="L97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7"/>
    </row>
    <row r="98" spans="1:14" x14ac:dyDescent="0.25">
      <c r="A98" s="29"/>
      <c r="B98" s="37"/>
      <c r="C98" s="29"/>
      <c r="D98" s="29"/>
      <c r="E98" s="29"/>
      <c r="F98" s="29"/>
      <c r="G98" s="38"/>
      <c r="H98" s="29"/>
      <c r="I98" s="29"/>
      <c r="J98" s="29"/>
      <c r="K98" s="41"/>
      <c r="L98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8"/>
    </row>
    <row r="99" spans="1:14" x14ac:dyDescent="0.25">
      <c r="A99" s="29"/>
      <c r="B99" s="37"/>
      <c r="C99" s="29"/>
      <c r="D99" s="29"/>
      <c r="E99" s="29"/>
      <c r="F99" s="29"/>
      <c r="G99" s="38"/>
      <c r="H99" s="29"/>
      <c r="I99" s="29"/>
      <c r="J99" s="29"/>
      <c r="K99" s="41"/>
      <c r="L99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99"/>
    </row>
    <row r="100" spans="1:14" x14ac:dyDescent="0.25">
      <c r="A100" s="29"/>
      <c r="B100" s="37"/>
      <c r="C100" s="29"/>
      <c r="D100" s="29"/>
      <c r="E100" s="29"/>
      <c r="F100" s="29"/>
      <c r="G100" s="38"/>
      <c r="H100" s="29"/>
      <c r="I100" s="29"/>
      <c r="J100" s="29"/>
      <c r="K100" s="41"/>
      <c r="L100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00"/>
    </row>
    <row r="101" spans="1:14" x14ac:dyDescent="0.25">
      <c r="A101" s="30"/>
      <c r="B101" s="37"/>
      <c r="C101" s="29"/>
      <c r="D101" s="30"/>
      <c r="E101" s="30"/>
      <c r="F101" s="30"/>
      <c r="G101" s="38"/>
      <c r="H101" s="30"/>
      <c r="I101" s="30"/>
      <c r="J101" s="30"/>
      <c r="K101" s="41"/>
      <c r="L101" s="34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  <c r="N101"/>
    </row>
    <row r="102" spans="1:14" x14ac:dyDescent="0.25">
      <c r="A102" s="30"/>
      <c r="B102" s="37"/>
      <c r="C102" s="29"/>
      <c r="D102" s="29"/>
      <c r="E102" s="29"/>
      <c r="F102" s="29"/>
      <c r="G102" s="39"/>
      <c r="H102" s="31"/>
      <c r="I102" s="29"/>
      <c r="J102" s="29"/>
      <c r="K102" s="41"/>
      <c r="L102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03" spans="1:14" x14ac:dyDescent="0.25">
      <c r="A103" s="30"/>
      <c r="B103" s="37"/>
      <c r="C103" s="29"/>
      <c r="D103" s="29"/>
      <c r="E103" s="29"/>
      <c r="F103" s="29"/>
      <c r="G103" s="39"/>
      <c r="H103" s="31"/>
      <c r="I103" s="29"/>
      <c r="J103" s="29"/>
      <c r="K103" s="41"/>
      <c r="L103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04" spans="1:14" x14ac:dyDescent="0.25">
      <c r="A104" s="30"/>
      <c r="B104" s="37"/>
      <c r="C104" s="29"/>
      <c r="D104" s="29"/>
      <c r="E104" s="29"/>
      <c r="F104" s="29"/>
      <c r="G104" s="39"/>
      <c r="H104" s="31"/>
      <c r="I104" s="29"/>
      <c r="J104" s="29"/>
      <c r="K104" s="41"/>
      <c r="L104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05" spans="1:14" x14ac:dyDescent="0.25">
      <c r="A105" s="30"/>
      <c r="B105" s="37"/>
      <c r="C105" s="29"/>
      <c r="D105" s="29"/>
      <c r="E105" s="29"/>
      <c r="F105" s="29"/>
      <c r="G105" s="39"/>
      <c r="H105" s="31"/>
      <c r="I105" s="29"/>
      <c r="J105" s="29"/>
      <c r="K105" s="41"/>
      <c r="L105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06" spans="1:14" x14ac:dyDescent="0.25">
      <c r="A106" s="30"/>
      <c r="B106" s="37"/>
      <c r="C106" s="29"/>
      <c r="D106" s="29"/>
      <c r="E106" s="29"/>
      <c r="F106" s="29"/>
      <c r="G106" s="39"/>
      <c r="H106" s="31"/>
      <c r="I106" s="29"/>
      <c r="J106" s="29"/>
      <c r="K106" s="41"/>
      <c r="L106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07" spans="1:14" x14ac:dyDescent="0.25">
      <c r="A107" s="30"/>
      <c r="B107" s="37"/>
      <c r="C107" s="29"/>
      <c r="D107" s="29"/>
      <c r="E107" s="29"/>
      <c r="F107" s="29"/>
      <c r="G107" s="39"/>
      <c r="H107" s="31"/>
      <c r="I107" s="29"/>
      <c r="J107" s="29"/>
      <c r="K107" s="41"/>
      <c r="L107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08" spans="1:14" x14ac:dyDescent="0.25">
      <c r="A108" s="30"/>
      <c r="B108" s="37"/>
      <c r="C108" s="29"/>
      <c r="D108" s="29"/>
      <c r="E108" s="29"/>
      <c r="F108" s="29"/>
      <c r="G108" s="39"/>
      <c r="H108" s="31"/>
      <c r="I108" s="29"/>
      <c r="J108" s="29"/>
      <c r="K108" s="41"/>
      <c r="L108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09" spans="1:14" x14ac:dyDescent="0.25">
      <c r="A109" s="30"/>
      <c r="B109" s="37"/>
      <c r="C109" s="29"/>
      <c r="D109" s="29"/>
      <c r="E109" s="29"/>
      <c r="F109" s="29"/>
      <c r="G109" s="39"/>
      <c r="H109" s="31"/>
      <c r="I109" s="29"/>
      <c r="J109" s="29"/>
      <c r="K109" s="41"/>
      <c r="L109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0" spans="1:14" x14ac:dyDescent="0.25">
      <c r="A110" s="30"/>
      <c r="B110" s="37"/>
      <c r="C110" s="29"/>
      <c r="D110" s="29"/>
      <c r="E110" s="29"/>
      <c r="F110" s="29"/>
      <c r="G110" s="39"/>
      <c r="H110" s="31"/>
      <c r="I110" s="29"/>
      <c r="J110" s="29"/>
      <c r="K110" s="41"/>
      <c r="L110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1" spans="1:14" x14ac:dyDescent="0.25">
      <c r="A111" s="30"/>
      <c r="B111" s="37"/>
      <c r="C111" s="29"/>
      <c r="D111" s="29"/>
      <c r="E111" s="29"/>
      <c r="F111" s="29"/>
      <c r="G111" s="39"/>
      <c r="H111" s="31"/>
      <c r="I111" s="29"/>
      <c r="J111" s="29"/>
      <c r="K111" s="41"/>
      <c r="L111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2" spans="1:14" x14ac:dyDescent="0.25">
      <c r="A112" s="30"/>
      <c r="B112" s="37"/>
      <c r="C112" s="29"/>
      <c r="D112" s="29"/>
      <c r="E112" s="29"/>
      <c r="F112" s="29"/>
      <c r="G112" s="39"/>
      <c r="H112" s="31"/>
      <c r="I112" s="29"/>
      <c r="J112" s="29"/>
      <c r="K112" s="41"/>
      <c r="L112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3" spans="1:12" x14ac:dyDescent="0.25">
      <c r="A113" s="30"/>
      <c r="B113" s="37"/>
      <c r="C113" s="29"/>
      <c r="D113" s="29"/>
      <c r="E113" s="29"/>
      <c r="F113" s="29"/>
      <c r="G113" s="39"/>
      <c r="H113" s="31"/>
      <c r="I113" s="29"/>
      <c r="J113" s="29"/>
      <c r="K113" s="41"/>
      <c r="L113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4" spans="1:12" x14ac:dyDescent="0.25">
      <c r="A114" s="30"/>
      <c r="B114" s="37"/>
      <c r="C114" s="29"/>
      <c r="D114" s="29"/>
      <c r="E114" s="29"/>
      <c r="F114" s="29"/>
      <c r="G114" s="39"/>
      <c r="H114" s="31"/>
      <c r="I114" s="29"/>
      <c r="J114" s="29"/>
      <c r="K114" s="41"/>
      <c r="L114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5" spans="1:12" x14ac:dyDescent="0.25">
      <c r="A115" s="30"/>
      <c r="B115" s="37"/>
      <c r="C115" s="29"/>
      <c r="D115" s="29"/>
      <c r="E115" s="29"/>
      <c r="F115" s="29"/>
      <c r="G115" s="39"/>
      <c r="H115" s="31"/>
      <c r="I115" s="29"/>
      <c r="J115" s="29"/>
      <c r="K115" s="41"/>
      <c r="L115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6" spans="1:12" x14ac:dyDescent="0.25">
      <c r="A116" s="30"/>
      <c r="B116" s="37"/>
      <c r="C116" s="29"/>
      <c r="D116" s="29"/>
      <c r="E116" s="29"/>
      <c r="F116" s="29"/>
      <c r="G116" s="39"/>
      <c r="H116" s="31"/>
      <c r="I116" s="29"/>
      <c r="J116" s="29"/>
      <c r="K116" s="41"/>
      <c r="L116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7" spans="1:12" x14ac:dyDescent="0.25">
      <c r="A117" s="30"/>
      <c r="B117" s="37"/>
      <c r="C117" s="29"/>
      <c r="D117" s="29"/>
      <c r="E117" s="29"/>
      <c r="F117" s="29"/>
      <c r="G117" s="39"/>
      <c r="H117" s="31"/>
      <c r="I117" s="29"/>
      <c r="J117" s="29"/>
      <c r="K117" s="41"/>
      <c r="L117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8" spans="1:12" x14ac:dyDescent="0.25">
      <c r="A118" s="30"/>
      <c r="B118" s="37"/>
      <c r="C118" s="29"/>
      <c r="D118" s="29"/>
      <c r="E118" s="29"/>
      <c r="F118" s="29"/>
      <c r="G118" s="39"/>
      <c r="H118" s="31"/>
      <c r="I118" s="29"/>
      <c r="J118" s="29"/>
      <c r="K118" s="41"/>
      <c r="L118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19" spans="1:12" x14ac:dyDescent="0.25">
      <c r="A119" s="30"/>
      <c r="B119" s="37"/>
      <c r="C119" s="29"/>
      <c r="D119" s="29"/>
      <c r="E119" s="29"/>
      <c r="F119" s="29"/>
      <c r="G119" s="39"/>
      <c r="H119" s="31"/>
      <c r="I119" s="29"/>
      <c r="J119" s="29"/>
      <c r="K119" s="41"/>
      <c r="L119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20" spans="1:12" x14ac:dyDescent="0.25">
      <c r="A120" s="30"/>
      <c r="B120" s="37"/>
      <c r="C120" s="29"/>
      <c r="D120" s="29"/>
      <c r="E120" s="29"/>
      <c r="F120" s="29"/>
      <c r="G120" s="39"/>
      <c r="H120" s="31"/>
      <c r="I120" s="29"/>
      <c r="J120" s="29"/>
      <c r="K120" s="41"/>
      <c r="L120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21" spans="1:12" x14ac:dyDescent="0.25">
      <c r="A121" s="30"/>
      <c r="B121" s="37"/>
      <c r="C121" s="29"/>
      <c r="D121" s="29"/>
      <c r="E121" s="29"/>
      <c r="F121" s="29"/>
      <c r="G121" s="39"/>
      <c r="H121" s="31"/>
      <c r="I121" s="29"/>
      <c r="J121" s="29"/>
      <c r="K121" s="41"/>
      <c r="L121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22" spans="1:12" x14ac:dyDescent="0.25">
      <c r="A122" s="30"/>
      <c r="B122" s="37"/>
      <c r="C122" s="29"/>
      <c r="D122" s="29"/>
      <c r="E122" s="29"/>
      <c r="F122" s="29"/>
      <c r="G122" s="39"/>
      <c r="H122" s="31"/>
      <c r="I122" s="29"/>
      <c r="J122" s="29"/>
      <c r="K122" s="41"/>
      <c r="L122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23" spans="1:12" x14ac:dyDescent="0.25">
      <c r="A123" s="30"/>
      <c r="B123" s="37"/>
      <c r="C123" s="29"/>
      <c r="D123" s="29"/>
      <c r="E123" s="29"/>
      <c r="F123" s="29"/>
      <c r="G123" s="39"/>
      <c r="H123" s="31"/>
      <c r="I123" s="29"/>
      <c r="J123" s="29"/>
      <c r="K123" s="41"/>
      <c r="L123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24" spans="1:12" x14ac:dyDescent="0.25">
      <c r="A124" s="30"/>
      <c r="B124" s="37"/>
      <c r="C124" s="29"/>
      <c r="D124" s="29"/>
      <c r="E124" s="29"/>
      <c r="F124" s="29"/>
      <c r="G124" s="39"/>
      <c r="H124" s="31"/>
      <c r="I124" s="29"/>
      <c r="J124" s="29"/>
      <c r="K124" s="41"/>
      <c r="L124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  <row r="125" spans="1:12" x14ac:dyDescent="0.25">
      <c r="A125" s="30"/>
      <c r="B125" s="37"/>
      <c r="C125" s="29"/>
      <c r="D125" s="29"/>
      <c r="E125" s="29"/>
      <c r="F125" s="29"/>
      <c r="G125" s="39"/>
      <c r="H125" s="31"/>
      <c r="I125" s="29"/>
      <c r="J125" s="29"/>
      <c r="K125" s="41"/>
      <c r="L125" s="40" t="str">
        <f>IF(Tableau14[[#This Row],[url ]]="",IF(Tableau14[[#This Row],[Nom exact du fichier à importer]]="","","OK"),IF(Tableau14[[#This Row],[Nom exact du fichier à importer]]&lt;&gt;"","Complétez qu'une seule colonne (J ou K).","OK"))</f>
        <v/>
      </c>
    </row>
  </sheetData>
  <sheetProtection algorithmName="SHA-512" hashValue="nmL2Zog00nEu7x8ysbu+CqCL1SCz4sWcBo36UclQrvqx7YIKoG228/vc+dcuDsxtCxUTkEhfwOtg2i2j3Z11lg==" saltValue="HOcWjBLtkve21Srav8fCzw==" spinCount="100000" sheet="1" objects="1" scenarios="1"/>
  <mergeCells count="11">
    <mergeCell ref="J1:J2"/>
    <mergeCell ref="K1:K2"/>
    <mergeCell ref="L1:L2"/>
    <mergeCell ref="A1:A2"/>
    <mergeCell ref="E1:E2"/>
    <mergeCell ref="B1:B2"/>
    <mergeCell ref="G1:G2"/>
    <mergeCell ref="H1:H2"/>
    <mergeCell ref="I1:I2"/>
    <mergeCell ref="F1:F2"/>
    <mergeCell ref="D1:D2"/>
  </mergeCells>
  <phoneticPr fontId="6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CC36942-AD36-490F-B8AD-31C7EFCB7DD5}">
          <x14:formula1>
            <xm:f>Listes!$E$1:$E$16</xm:f>
          </x14:formula1>
          <xm:sqref>E2</xm:sqref>
        </x14:dataValidation>
        <x14:dataValidation type="list" allowBlank="1" showInputMessage="1" showErrorMessage="1" xr:uid="{DDA47748-834B-4B8E-8777-012782BB1F7D}">
          <x14:formula1>
            <xm:f>Listes!$A$2:$A$10</xm:f>
          </x14:formula1>
          <xm:sqref>D4:D125</xm:sqref>
        </x14:dataValidation>
        <x14:dataValidation type="list" allowBlank="1" showInputMessage="1" showErrorMessage="1" xr:uid="{15644D10-32DD-44CD-8363-429CB0B514A0}">
          <x14:formula1>
            <xm:f>'Domaines-Blocs de compétences'!$C$6:$C$500</xm:f>
          </x14:formula1>
          <xm:sqref>C4:C125</xm:sqref>
        </x14:dataValidation>
        <x14:dataValidation type="list" allowBlank="1" showInputMessage="1" showErrorMessage="1" xr:uid="{3ED3E377-6EDC-49A9-B9EF-5D09920B6869}">
          <x14:formula1>
            <xm:f>Listes!$D$1:$D$36</xm:f>
          </x14:formula1>
          <xm:sqref>C2</xm:sqref>
        </x14:dataValidation>
        <x14:dataValidation type="list" allowBlank="1" showInputMessage="1" showErrorMessage="1" xr:uid="{EF5A29FF-0C41-45CE-8601-3F2EFB043A6F}">
          <x14:formula1>
            <xm:f>Listes!$D$2:$D$36</xm:f>
          </x14:formula1>
          <xm:sqref>B4:B125</xm:sqref>
        </x14:dataValidation>
        <x14:dataValidation type="list" allowBlank="1" showInputMessage="1" showErrorMessage="1" xr:uid="{7EAF245F-079A-4EEF-838A-10338699AD78}">
          <x14:formula1>
            <xm:f>Listes!$I$3:$I$24</xm:f>
          </x14:formula1>
          <xm:sqref>H101</xm:sqref>
        </x14:dataValidation>
        <x14:dataValidation type="list" allowBlank="1" showInputMessage="1" showErrorMessage="1" xr:uid="{A861A10E-40C9-471C-9F7B-806EFADF3532}">
          <x14:formula1>
            <xm:f>Listes!$I$2:$I$15</xm:f>
          </x14:formula1>
          <xm:sqref>G4:G125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8FFD-8C38-49B3-ABFA-BD3CDCD8F0DC}">
  <dimension ref="A1"/>
  <sheetViews>
    <sheetView workbookViewId="0"/>
  </sheetViews>
  <sheetFormatPr baseColWidth="10" defaultRowHeight="15" x14ac:dyDescent="0.25"/>
  <cols>
    <col min="1" max="1" width="52" bestFit="1" customWidth="1"/>
  </cols>
  <sheetData>
    <row r="1" spans="1:1" ht="45" x14ac:dyDescent="0.25">
      <c r="A1" s="35" t="s">
        <v>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2B02C-5B7C-46E0-B9BA-C8652796416B}">
  <dimension ref="A1:C22"/>
  <sheetViews>
    <sheetView workbookViewId="0">
      <selection activeCell="B8" sqref="B8"/>
    </sheetView>
  </sheetViews>
  <sheetFormatPr baseColWidth="10" defaultRowHeight="15" x14ac:dyDescent="0.25"/>
  <cols>
    <col min="1" max="1" width="42.42578125" bestFit="1" customWidth="1"/>
    <col min="2" max="2" width="15.7109375" bestFit="1" customWidth="1"/>
    <col min="3" max="3" width="111.5703125" bestFit="1" customWidth="1"/>
    <col min="4" max="4" width="42.42578125" bestFit="1" customWidth="1"/>
    <col min="5" max="5" width="14.42578125" bestFit="1" customWidth="1"/>
    <col min="6" max="6" width="111.5703125" bestFit="1" customWidth="1"/>
  </cols>
  <sheetData>
    <row r="1" spans="1:3" x14ac:dyDescent="0.25">
      <c r="A1" t="s">
        <v>0</v>
      </c>
      <c r="B1" t="s">
        <v>82</v>
      </c>
    </row>
    <row r="2" spans="1:3" ht="30" x14ac:dyDescent="0.25">
      <c r="A2" s="17" t="s">
        <v>8</v>
      </c>
      <c r="B2" s="16" t="s">
        <v>89</v>
      </c>
    </row>
    <row r="3" spans="1:3" ht="75" x14ac:dyDescent="0.25">
      <c r="A3" s="16" t="s">
        <v>83</v>
      </c>
      <c r="B3" s="16" t="s">
        <v>84</v>
      </c>
    </row>
    <row r="4" spans="1:3" ht="30" x14ac:dyDescent="0.25">
      <c r="A4" s="16" t="s">
        <v>85</v>
      </c>
      <c r="B4" s="17" t="s">
        <v>86</v>
      </c>
    </row>
    <row r="5" spans="1:3" x14ac:dyDescent="0.25">
      <c r="A5" s="17" t="s">
        <v>87</v>
      </c>
      <c r="B5" s="17" t="s">
        <v>88</v>
      </c>
    </row>
    <row r="7" spans="1:3" x14ac:dyDescent="0.25">
      <c r="A7" s="5" t="s">
        <v>29</v>
      </c>
      <c r="B7" s="14" t="s">
        <v>67</v>
      </c>
      <c r="C7" s="14" t="s">
        <v>63</v>
      </c>
    </row>
    <row r="8" spans="1:3" ht="165" x14ac:dyDescent="0.25">
      <c r="A8" s="17" t="s">
        <v>14</v>
      </c>
      <c r="B8" s="17" t="s">
        <v>77</v>
      </c>
      <c r="C8" s="16" t="s">
        <v>90</v>
      </c>
    </row>
    <row r="9" spans="1:3" x14ac:dyDescent="0.25">
      <c r="A9" s="18" t="s">
        <v>16</v>
      </c>
      <c r="B9" s="18" t="s">
        <v>68</v>
      </c>
      <c r="C9" s="18" t="s">
        <v>62</v>
      </c>
    </row>
    <row r="10" spans="1:3" ht="30" x14ac:dyDescent="0.25">
      <c r="A10" s="18" t="s">
        <v>18</v>
      </c>
      <c r="B10" s="18" t="s">
        <v>69</v>
      </c>
      <c r="C10" s="19" t="s">
        <v>91</v>
      </c>
    </row>
    <row r="11" spans="1:3" x14ac:dyDescent="0.25">
      <c r="A11" s="18" t="s">
        <v>22</v>
      </c>
      <c r="B11" s="18" t="s">
        <v>78</v>
      </c>
      <c r="C11" s="18"/>
    </row>
    <row r="12" spans="1:3" x14ac:dyDescent="0.25">
      <c r="A12" s="17" t="s">
        <v>15</v>
      </c>
      <c r="B12" s="18" t="s">
        <v>70</v>
      </c>
      <c r="C12" s="17"/>
    </row>
    <row r="13" spans="1:3" ht="45" x14ac:dyDescent="0.25">
      <c r="A13" s="18" t="s">
        <v>10</v>
      </c>
      <c r="B13" s="18" t="s">
        <v>71</v>
      </c>
      <c r="C13" s="19" t="s">
        <v>92</v>
      </c>
    </row>
    <row r="14" spans="1:3" x14ac:dyDescent="0.25">
      <c r="A14" s="17" t="s">
        <v>12</v>
      </c>
      <c r="B14" s="18" t="s">
        <v>72</v>
      </c>
      <c r="C14" s="18" t="s">
        <v>65</v>
      </c>
    </row>
    <row r="15" spans="1:3" x14ac:dyDescent="0.25">
      <c r="A15" s="18" t="s">
        <v>20</v>
      </c>
      <c r="B15" s="18" t="s">
        <v>79</v>
      </c>
      <c r="C15" s="18"/>
    </row>
    <row r="16" spans="1:3" x14ac:dyDescent="0.25">
      <c r="A16" s="18" t="s">
        <v>19</v>
      </c>
      <c r="B16" s="18" t="s">
        <v>80</v>
      </c>
      <c r="C16" s="18" t="s">
        <v>64</v>
      </c>
    </row>
    <row r="17" spans="1:3" x14ac:dyDescent="0.25">
      <c r="A17" s="18" t="s">
        <v>13</v>
      </c>
      <c r="B17" s="18" t="s">
        <v>73</v>
      </c>
      <c r="C17" s="18"/>
    </row>
    <row r="18" spans="1:3" ht="60" x14ac:dyDescent="0.25">
      <c r="A18" s="18" t="s">
        <v>17</v>
      </c>
      <c r="B18" s="18" t="s">
        <v>81</v>
      </c>
      <c r="C18" s="19" t="s">
        <v>93</v>
      </c>
    </row>
    <row r="19" spans="1:3" x14ac:dyDescent="0.25">
      <c r="A19" s="17" t="s">
        <v>11</v>
      </c>
      <c r="B19" s="18" t="s">
        <v>11</v>
      </c>
      <c r="C19" s="18" t="s">
        <v>66</v>
      </c>
    </row>
    <row r="20" spans="1:3" ht="30" x14ac:dyDescent="0.25">
      <c r="A20" s="18" t="s">
        <v>21</v>
      </c>
      <c r="B20" s="18" t="s">
        <v>74</v>
      </c>
      <c r="C20" s="19" t="s">
        <v>94</v>
      </c>
    </row>
    <row r="21" spans="1:3" x14ac:dyDescent="0.25">
      <c r="A21" s="18" t="s">
        <v>9</v>
      </c>
      <c r="B21" s="18" t="s">
        <v>75</v>
      </c>
      <c r="C21" s="18"/>
    </row>
    <row r="22" spans="1:3" ht="60" x14ac:dyDescent="0.25">
      <c r="A22" s="18" t="s">
        <v>31</v>
      </c>
      <c r="B22" s="18" t="s">
        <v>76</v>
      </c>
      <c r="C22" s="19" t="s">
        <v>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DB9B-1532-40EC-8060-48F77934CC3D}">
  <dimension ref="A1:I47"/>
  <sheetViews>
    <sheetView topLeftCell="D1" workbookViewId="0">
      <selection activeCell="I2" sqref="I2"/>
    </sheetView>
  </sheetViews>
  <sheetFormatPr baseColWidth="10" defaultRowHeight="15" x14ac:dyDescent="0.25"/>
  <cols>
    <col min="1" max="1" width="47.140625" bestFit="1" customWidth="1"/>
    <col min="2" max="3" width="31.42578125" bestFit="1" customWidth="1"/>
    <col min="4" max="4" width="31.42578125" customWidth="1"/>
    <col min="5" max="5" width="42.42578125" bestFit="1" customWidth="1"/>
    <col min="6" max="6" width="30.5703125" customWidth="1"/>
    <col min="7" max="7" width="17" customWidth="1"/>
    <col min="8" max="8" width="15.42578125" bestFit="1" customWidth="1"/>
    <col min="9" max="9" width="36.140625" bestFit="1" customWidth="1"/>
  </cols>
  <sheetData>
    <row r="1" spans="1:9" x14ac:dyDescent="0.25">
      <c r="A1" s="4" t="s">
        <v>0</v>
      </c>
      <c r="B1" s="15" t="s">
        <v>96</v>
      </c>
      <c r="C1" s="4" t="s">
        <v>1</v>
      </c>
      <c r="D1" s="5" t="s">
        <v>375</v>
      </c>
      <c r="E1" s="5" t="s">
        <v>324</v>
      </c>
      <c r="F1" s="15" t="s">
        <v>332</v>
      </c>
      <c r="G1" s="4" t="s">
        <v>28</v>
      </c>
      <c r="H1" s="4" t="s">
        <v>6</v>
      </c>
      <c r="I1" s="2" t="s">
        <v>2</v>
      </c>
    </row>
    <row r="2" spans="1:9" x14ac:dyDescent="0.25">
      <c r="A2" s="1" t="s">
        <v>52</v>
      </c>
      <c r="B2" s="8" t="s">
        <v>34</v>
      </c>
      <c r="C2" t="s">
        <v>97</v>
      </c>
      <c r="D2" t="s">
        <v>384</v>
      </c>
      <c r="E2" t="s">
        <v>14</v>
      </c>
      <c r="G2" s="1" t="s">
        <v>23</v>
      </c>
      <c r="H2" s="1" t="s">
        <v>103</v>
      </c>
    </row>
    <row r="3" spans="1:9" x14ac:dyDescent="0.25">
      <c r="A3" s="1" t="s">
        <v>53</v>
      </c>
      <c r="B3" s="8" t="s">
        <v>35</v>
      </c>
      <c r="C3" t="s">
        <v>7</v>
      </c>
      <c r="D3" t="s">
        <v>387</v>
      </c>
      <c r="E3" s="21" t="s">
        <v>16</v>
      </c>
      <c r="F3" s="21" t="s">
        <v>333</v>
      </c>
      <c r="G3" s="1" t="s">
        <v>24</v>
      </c>
      <c r="H3" s="1" t="s">
        <v>104</v>
      </c>
      <c r="I3" s="7">
        <v>3.472222222222222E-3</v>
      </c>
    </row>
    <row r="4" spans="1:9" x14ac:dyDescent="0.25">
      <c r="A4" s="1" t="s">
        <v>54</v>
      </c>
      <c r="B4" s="8" t="s">
        <v>36</v>
      </c>
      <c r="D4" t="s">
        <v>385</v>
      </c>
      <c r="E4" s="21" t="s">
        <v>18</v>
      </c>
      <c r="F4" s="21" t="s">
        <v>335</v>
      </c>
      <c r="G4" t="s">
        <v>25</v>
      </c>
      <c r="H4" s="1"/>
      <c r="I4" s="7">
        <v>6.9444444444444441E-3</v>
      </c>
    </row>
    <row r="5" spans="1:9" x14ac:dyDescent="0.25">
      <c r="A5" s="1" t="s">
        <v>55</v>
      </c>
      <c r="B5" s="8" t="s">
        <v>37</v>
      </c>
      <c r="D5" t="s">
        <v>386</v>
      </c>
      <c r="E5" s="21" t="s">
        <v>22</v>
      </c>
      <c r="F5" s="21" t="s">
        <v>334</v>
      </c>
      <c r="G5" t="s">
        <v>26</v>
      </c>
      <c r="H5" s="1"/>
      <c r="I5" s="7">
        <v>1.0416666666666666E-2</v>
      </c>
    </row>
    <row r="6" spans="1:9" x14ac:dyDescent="0.25">
      <c r="A6" s="1" t="s">
        <v>56</v>
      </c>
      <c r="B6" s="8" t="s">
        <v>38</v>
      </c>
      <c r="D6" s="21" t="s">
        <v>355</v>
      </c>
      <c r="E6" t="s">
        <v>15</v>
      </c>
      <c r="F6" s="21" t="s">
        <v>336</v>
      </c>
      <c r="G6" t="s">
        <v>27</v>
      </c>
      <c r="H6" s="1"/>
      <c r="I6" s="7">
        <v>1.3888888888888888E-2</v>
      </c>
    </row>
    <row r="7" spans="1:9" x14ac:dyDescent="0.25">
      <c r="A7" s="1" t="s">
        <v>59</v>
      </c>
      <c r="B7" s="9" t="s">
        <v>39</v>
      </c>
      <c r="D7" s="21" t="s">
        <v>358</v>
      </c>
      <c r="E7" s="21" t="s">
        <v>10</v>
      </c>
      <c r="F7" s="21" t="s">
        <v>337</v>
      </c>
      <c r="G7" t="s">
        <v>33</v>
      </c>
      <c r="H7" s="1"/>
      <c r="I7" s="7">
        <v>2.0833333333333332E-2</v>
      </c>
    </row>
    <row r="8" spans="1:9" x14ac:dyDescent="0.25">
      <c r="A8" s="1" t="s">
        <v>57</v>
      </c>
      <c r="B8" s="9" t="s">
        <v>40</v>
      </c>
      <c r="D8" s="21" t="s">
        <v>363</v>
      </c>
      <c r="E8" t="s">
        <v>12</v>
      </c>
      <c r="G8" s="1"/>
      <c r="H8" s="1"/>
      <c r="I8" s="7">
        <v>3.125E-2</v>
      </c>
    </row>
    <row r="9" spans="1:9" x14ac:dyDescent="0.25">
      <c r="A9" s="1" t="s">
        <v>58</v>
      </c>
      <c r="B9" s="10" t="s">
        <v>41</v>
      </c>
      <c r="D9" s="21" t="s">
        <v>360</v>
      </c>
      <c r="E9" s="21" t="s">
        <v>20</v>
      </c>
      <c r="F9" s="21"/>
      <c r="G9" s="1"/>
      <c r="H9" s="1"/>
      <c r="I9" s="7">
        <v>4.1666666666666664E-2</v>
      </c>
    </row>
    <row r="10" spans="1:9" x14ac:dyDescent="0.25">
      <c r="A10" t="s">
        <v>60</v>
      </c>
      <c r="B10" s="10" t="s">
        <v>42</v>
      </c>
      <c r="D10" s="21" t="s">
        <v>362</v>
      </c>
      <c r="E10" s="21" t="s">
        <v>19</v>
      </c>
      <c r="F10" s="21"/>
      <c r="G10" s="1"/>
      <c r="H10" s="1"/>
      <c r="I10" s="7">
        <v>6.25E-2</v>
      </c>
    </row>
    <row r="11" spans="1:9" x14ac:dyDescent="0.25">
      <c r="A11" s="1"/>
      <c r="B11" s="11" t="s">
        <v>43</v>
      </c>
      <c r="D11" t="s">
        <v>342</v>
      </c>
      <c r="E11" s="21" t="s">
        <v>13</v>
      </c>
      <c r="F11" s="21"/>
      <c r="G11" s="1"/>
      <c r="H11" s="1"/>
      <c r="I11" s="7">
        <v>8.3333333333333329E-2</v>
      </c>
    </row>
    <row r="12" spans="1:9" x14ac:dyDescent="0.25">
      <c r="A12" s="1"/>
      <c r="B12" s="11" t="s">
        <v>44</v>
      </c>
      <c r="D12" s="21" t="s">
        <v>353</v>
      </c>
      <c r="E12" s="21" t="s">
        <v>17</v>
      </c>
      <c r="F12" s="21"/>
      <c r="G12" s="1"/>
      <c r="H12" s="1"/>
      <c r="I12" s="7">
        <v>0.10416666666666667</v>
      </c>
    </row>
    <row r="13" spans="1:9" x14ac:dyDescent="0.25">
      <c r="A13" s="1"/>
      <c r="B13" s="11" t="s">
        <v>45</v>
      </c>
      <c r="D13" s="21" t="s">
        <v>354</v>
      </c>
      <c r="E13" t="s">
        <v>11</v>
      </c>
      <c r="G13" s="1"/>
      <c r="H13" s="1"/>
      <c r="I13" s="7">
        <v>0.125</v>
      </c>
    </row>
    <row r="14" spans="1:9" x14ac:dyDescent="0.25">
      <c r="A14" s="1"/>
      <c r="B14" s="11" t="s">
        <v>46</v>
      </c>
      <c r="D14" s="21" t="s">
        <v>361</v>
      </c>
      <c r="E14" s="21" t="s">
        <v>21</v>
      </c>
      <c r="F14" s="21"/>
      <c r="G14" s="1"/>
      <c r="H14" s="1"/>
      <c r="I14" s="7">
        <v>0.14583333333333334</v>
      </c>
    </row>
    <row r="15" spans="1:9" x14ac:dyDescent="0.25">
      <c r="A15" s="1"/>
      <c r="B15" s="12" t="s">
        <v>47</v>
      </c>
      <c r="D15" t="s">
        <v>343</v>
      </c>
      <c r="E15" s="21" t="s">
        <v>9</v>
      </c>
      <c r="F15" s="21"/>
      <c r="G15" s="1"/>
      <c r="H15" s="1"/>
      <c r="I15" s="7">
        <v>0.16666666666666666</v>
      </c>
    </row>
    <row r="16" spans="1:9" x14ac:dyDescent="0.25">
      <c r="A16" s="1"/>
      <c r="B16" s="12" t="s">
        <v>48</v>
      </c>
      <c r="D16" s="21" t="s">
        <v>346</v>
      </c>
      <c r="E16" s="21" t="s">
        <v>31</v>
      </c>
      <c r="F16" s="21"/>
      <c r="G16" s="1"/>
      <c r="H16" s="1"/>
      <c r="I16" s="7"/>
    </row>
    <row r="17" spans="1:9" x14ac:dyDescent="0.25">
      <c r="A17" s="1"/>
      <c r="B17" s="12" t="s">
        <v>49</v>
      </c>
      <c r="D17" s="21" t="s">
        <v>348</v>
      </c>
      <c r="G17" s="1"/>
      <c r="H17" s="1"/>
      <c r="I17" s="7"/>
    </row>
    <row r="18" spans="1:9" x14ac:dyDescent="0.25">
      <c r="A18" s="1"/>
      <c r="B18" s="8"/>
      <c r="D18" s="21" t="s">
        <v>349</v>
      </c>
      <c r="G18" s="1"/>
      <c r="H18" s="1"/>
      <c r="I18" s="7"/>
    </row>
    <row r="19" spans="1:9" x14ac:dyDescent="0.25">
      <c r="A19" s="1"/>
      <c r="B19" s="8"/>
      <c r="D19" s="21" t="s">
        <v>350</v>
      </c>
      <c r="G19" s="1"/>
      <c r="H19" s="1"/>
      <c r="I19" s="7"/>
    </row>
    <row r="20" spans="1:9" x14ac:dyDescent="0.25">
      <c r="A20" s="1"/>
      <c r="B20" s="8"/>
      <c r="D20" s="21" t="s">
        <v>351</v>
      </c>
      <c r="G20" s="1"/>
      <c r="H20" s="1"/>
      <c r="I20" s="7"/>
    </row>
    <row r="21" spans="1:9" x14ac:dyDescent="0.25">
      <c r="A21" s="1"/>
      <c r="B21" s="8"/>
      <c r="D21" s="21" t="s">
        <v>352</v>
      </c>
      <c r="G21" s="1"/>
      <c r="H21" s="1"/>
      <c r="I21" s="7"/>
    </row>
    <row r="22" spans="1:9" x14ac:dyDescent="0.25">
      <c r="A22" s="1"/>
      <c r="B22" s="8"/>
      <c r="D22" s="21" t="s">
        <v>356</v>
      </c>
      <c r="G22" s="1"/>
      <c r="H22" s="1"/>
      <c r="I22" s="7"/>
    </row>
    <row r="23" spans="1:9" x14ac:dyDescent="0.25">
      <c r="A23" s="1"/>
      <c r="B23" s="8"/>
      <c r="D23" s="21" t="s">
        <v>359</v>
      </c>
      <c r="G23" s="1"/>
      <c r="H23" s="1"/>
      <c r="I23" s="7"/>
    </row>
    <row r="24" spans="1:9" x14ac:dyDescent="0.25">
      <c r="A24" s="1"/>
      <c r="B24" s="8"/>
      <c r="D24" t="s">
        <v>372</v>
      </c>
      <c r="G24" s="1"/>
      <c r="H24" s="1"/>
      <c r="I24" s="7"/>
    </row>
    <row r="25" spans="1:9" x14ac:dyDescent="0.25">
      <c r="D25" t="s">
        <v>344</v>
      </c>
      <c r="I25" s="7"/>
    </row>
    <row r="26" spans="1:9" x14ac:dyDescent="0.25">
      <c r="D26" t="s">
        <v>345</v>
      </c>
      <c r="I26" s="7"/>
    </row>
    <row r="27" spans="1:9" x14ac:dyDescent="0.25">
      <c r="D27" s="21" t="s">
        <v>357</v>
      </c>
      <c r="I27" s="7"/>
    </row>
    <row r="28" spans="1:9" x14ac:dyDescent="0.25">
      <c r="D28" t="s">
        <v>367</v>
      </c>
      <c r="I28" s="7"/>
    </row>
    <row r="29" spans="1:9" x14ac:dyDescent="0.25">
      <c r="D29" s="21" t="s">
        <v>347</v>
      </c>
      <c r="I29" s="7"/>
    </row>
    <row r="30" spans="1:9" x14ac:dyDescent="0.25">
      <c r="D30" t="s">
        <v>365</v>
      </c>
      <c r="I30" s="7"/>
    </row>
    <row r="31" spans="1:9" x14ac:dyDescent="0.25">
      <c r="D31" t="s">
        <v>364</v>
      </c>
      <c r="I31" s="7"/>
    </row>
    <row r="32" spans="1:9" x14ac:dyDescent="0.25">
      <c r="D32" t="s">
        <v>366</v>
      </c>
      <c r="I32" s="7"/>
    </row>
    <row r="33" spans="1:9" x14ac:dyDescent="0.25">
      <c r="D33" t="s">
        <v>368</v>
      </c>
      <c r="I33" s="7"/>
    </row>
    <row r="34" spans="1:9" x14ac:dyDescent="0.25">
      <c r="D34" t="s">
        <v>369</v>
      </c>
      <c r="I34" s="7"/>
    </row>
    <row r="35" spans="1:9" x14ac:dyDescent="0.25">
      <c r="D35" t="s">
        <v>370</v>
      </c>
      <c r="I35" s="7"/>
    </row>
    <row r="36" spans="1:9" x14ac:dyDescent="0.25">
      <c r="D36" t="s">
        <v>371</v>
      </c>
      <c r="I36" s="7"/>
    </row>
    <row r="37" spans="1:9" x14ac:dyDescent="0.25">
      <c r="I37" s="7"/>
    </row>
    <row r="38" spans="1:9" x14ac:dyDescent="0.25">
      <c r="I38" s="7"/>
    </row>
    <row r="39" spans="1:9" x14ac:dyDescent="0.25">
      <c r="I39" s="7"/>
    </row>
    <row r="40" spans="1:9" x14ac:dyDescent="0.25">
      <c r="I40" s="7"/>
    </row>
    <row r="41" spans="1:9" x14ac:dyDescent="0.25">
      <c r="I41" s="7"/>
    </row>
    <row r="42" spans="1:9" x14ac:dyDescent="0.25">
      <c r="I42" s="7"/>
    </row>
    <row r="43" spans="1:9" x14ac:dyDescent="0.25">
      <c r="A43" s="13" t="s">
        <v>50</v>
      </c>
      <c r="B43" s="3" t="s">
        <v>3</v>
      </c>
      <c r="C43" s="3" t="s">
        <v>4</v>
      </c>
      <c r="D43" s="3" t="s">
        <v>61</v>
      </c>
      <c r="I43" s="7"/>
    </row>
    <row r="44" spans="1:9" x14ac:dyDescent="0.25">
      <c r="A44" t="s">
        <v>327</v>
      </c>
      <c r="B44" t="s">
        <v>30</v>
      </c>
      <c r="C44">
        <v>0</v>
      </c>
      <c r="D44" s="6">
        <v>69</v>
      </c>
      <c r="I44" s="7"/>
    </row>
    <row r="45" spans="1:9" x14ac:dyDescent="0.25">
      <c r="I45" s="7"/>
    </row>
    <row r="46" spans="1:9" x14ac:dyDescent="0.25">
      <c r="D46" s="3" t="s">
        <v>5</v>
      </c>
      <c r="I46" s="7"/>
    </row>
    <row r="47" spans="1:9" x14ac:dyDescent="0.25">
      <c r="D47" t="s">
        <v>32</v>
      </c>
      <c r="I47" s="7"/>
    </row>
  </sheetData>
  <sortState xmlns:xlrd2="http://schemas.microsoft.com/office/spreadsheetml/2017/richdata2" ref="D6:D36">
    <sortCondition ref="D6:D36"/>
  </sortState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171DC-8B39-4E32-B8E6-F4CAA8226824}">
  <dimension ref="A1:K170"/>
  <sheetViews>
    <sheetView topLeftCell="D142" workbookViewId="0">
      <selection activeCell="H166" sqref="H166"/>
    </sheetView>
  </sheetViews>
  <sheetFormatPr baseColWidth="10" defaultRowHeight="15" x14ac:dyDescent="0.25"/>
  <cols>
    <col min="1" max="1" width="47.140625" bestFit="1" customWidth="1"/>
    <col min="2" max="3" width="31.42578125" bestFit="1" customWidth="1"/>
    <col min="4" max="4" width="42.42578125" bestFit="1" customWidth="1"/>
    <col min="5" max="5" width="36.140625" bestFit="1" customWidth="1"/>
    <col min="6" max="6" width="42.42578125" bestFit="1" customWidth="1"/>
    <col min="7" max="7" width="14.42578125" bestFit="1" customWidth="1"/>
    <col min="8" max="8" width="17.140625" bestFit="1" customWidth="1"/>
    <col min="9" max="9" width="113.140625" bestFit="1" customWidth="1"/>
    <col min="10" max="10" width="25" customWidth="1"/>
    <col min="11" max="11" width="25.5703125" bestFit="1" customWidth="1"/>
  </cols>
  <sheetData>
    <row r="1" spans="1:11" x14ac:dyDescent="0.25">
      <c r="F1" s="5" t="s">
        <v>29</v>
      </c>
      <c r="G1" s="14" t="s">
        <v>67</v>
      </c>
      <c r="H1" s="14" t="s">
        <v>341</v>
      </c>
      <c r="I1" s="14" t="s">
        <v>63</v>
      </c>
      <c r="J1" s="14" t="s">
        <v>331</v>
      </c>
      <c r="K1" s="14" t="s">
        <v>250</v>
      </c>
    </row>
    <row r="2" spans="1:11" x14ac:dyDescent="0.25">
      <c r="F2" s="24" t="s">
        <v>9</v>
      </c>
      <c r="G2" s="24" t="s">
        <v>75</v>
      </c>
      <c r="H2" s="24" t="s">
        <v>342</v>
      </c>
      <c r="I2" s="22" t="s">
        <v>105</v>
      </c>
      <c r="J2" s="22" t="s">
        <v>336</v>
      </c>
      <c r="K2" s="22"/>
    </row>
    <row r="3" spans="1:11" x14ac:dyDescent="0.25">
      <c r="A3" t="s">
        <v>326</v>
      </c>
      <c r="F3" s="24" t="s">
        <v>9</v>
      </c>
      <c r="G3" s="24" t="s">
        <v>75</v>
      </c>
      <c r="H3" s="24" t="s">
        <v>342</v>
      </c>
      <c r="I3" s="22" t="s">
        <v>106</v>
      </c>
      <c r="J3" s="22" t="s">
        <v>336</v>
      </c>
      <c r="K3" s="22"/>
    </row>
    <row r="4" spans="1:11" x14ac:dyDescent="0.25">
      <c r="A4" t="s">
        <v>325</v>
      </c>
      <c r="B4" t="str">
        <f>'Feuille de saisie'!C2</f>
        <v>Re-sélectionner la formation</v>
      </c>
      <c r="F4" s="24" t="s">
        <v>9</v>
      </c>
      <c r="G4" s="24" t="s">
        <v>75</v>
      </c>
      <c r="H4" s="24" t="s">
        <v>342</v>
      </c>
      <c r="I4" s="22" t="s">
        <v>107</v>
      </c>
      <c r="J4" s="22" t="s">
        <v>336</v>
      </c>
      <c r="K4" s="22"/>
    </row>
    <row r="5" spans="1:11" x14ac:dyDescent="0.25">
      <c r="B5" s="23" t="s">
        <v>321</v>
      </c>
      <c r="C5" s="23" t="s">
        <v>67</v>
      </c>
      <c r="D5" s="23" t="s">
        <v>322</v>
      </c>
      <c r="E5" s="23" t="s">
        <v>323</v>
      </c>
      <c r="F5" s="24" t="s">
        <v>9</v>
      </c>
      <c r="G5" s="24" t="s">
        <v>75</v>
      </c>
      <c r="H5" s="24" t="s">
        <v>342</v>
      </c>
      <c r="I5" s="22" t="s">
        <v>108</v>
      </c>
      <c r="J5" s="22" t="s">
        <v>336</v>
      </c>
      <c r="K5" s="22"/>
    </row>
    <row r="6" spans="1:11" x14ac:dyDescent="0.25">
      <c r="A6" t="s">
        <v>320</v>
      </c>
      <c r="B6" t="e" cm="1" vm="1">
        <f t="array" ref="B6">_xlfn._xlws.FILTER(H1:K500,H1:H500=B4)</f>
        <v>#VALUE!</v>
      </c>
      <c r="F6" s="24" t="s">
        <v>19</v>
      </c>
      <c r="G6" s="24" t="s">
        <v>80</v>
      </c>
      <c r="H6" s="24" t="s">
        <v>343</v>
      </c>
      <c r="I6" s="22" t="s">
        <v>109</v>
      </c>
      <c r="J6" s="22" t="s">
        <v>334</v>
      </c>
      <c r="K6" s="22" t="s">
        <v>312</v>
      </c>
    </row>
    <row r="7" spans="1:11" x14ac:dyDescent="0.25">
      <c r="F7" s="24" t="s">
        <v>19</v>
      </c>
      <c r="G7" s="24" t="s">
        <v>80</v>
      </c>
      <c r="H7" s="24" t="s">
        <v>343</v>
      </c>
      <c r="I7" s="22" t="s">
        <v>110</v>
      </c>
      <c r="J7" s="22" t="s">
        <v>334</v>
      </c>
      <c r="K7" s="22" t="s">
        <v>312</v>
      </c>
    </row>
    <row r="8" spans="1:11" x14ac:dyDescent="0.25">
      <c r="F8" s="24" t="s">
        <v>19</v>
      </c>
      <c r="G8" s="24" t="s">
        <v>80</v>
      </c>
      <c r="H8" s="24" t="s">
        <v>343</v>
      </c>
      <c r="I8" s="22" t="s">
        <v>111</v>
      </c>
      <c r="J8" s="22" t="s">
        <v>334</v>
      </c>
      <c r="K8" s="22" t="s">
        <v>312</v>
      </c>
    </row>
    <row r="9" spans="1:11" x14ac:dyDescent="0.25">
      <c r="F9" s="24" t="s">
        <v>19</v>
      </c>
      <c r="G9" s="24" t="s">
        <v>80</v>
      </c>
      <c r="H9" s="24" t="s">
        <v>343</v>
      </c>
      <c r="I9" s="22" t="s">
        <v>112</v>
      </c>
      <c r="J9" s="22" t="s">
        <v>334</v>
      </c>
      <c r="K9" s="22" t="s">
        <v>312</v>
      </c>
    </row>
    <row r="10" spans="1:11" x14ac:dyDescent="0.25">
      <c r="F10" s="24" t="s">
        <v>19</v>
      </c>
      <c r="G10" s="24" t="s">
        <v>80</v>
      </c>
      <c r="H10" s="24" t="s">
        <v>343</v>
      </c>
      <c r="I10" s="22" t="s">
        <v>113</v>
      </c>
      <c r="J10" s="22" t="s">
        <v>334</v>
      </c>
      <c r="K10" s="22" t="s">
        <v>312</v>
      </c>
    </row>
    <row r="11" spans="1:11" x14ac:dyDescent="0.25">
      <c r="F11" s="22" t="s">
        <v>14</v>
      </c>
      <c r="G11" s="22" t="s">
        <v>77</v>
      </c>
      <c r="H11" s="22" t="s">
        <v>386</v>
      </c>
      <c r="I11" s="22" t="s">
        <v>241</v>
      </c>
      <c r="J11" s="22" t="s">
        <v>336</v>
      </c>
      <c r="K11" s="22" t="s">
        <v>252</v>
      </c>
    </row>
    <row r="12" spans="1:11" x14ac:dyDescent="0.25">
      <c r="F12" s="22" t="s">
        <v>14</v>
      </c>
      <c r="G12" s="22" t="s">
        <v>77</v>
      </c>
      <c r="H12" s="22" t="s">
        <v>386</v>
      </c>
      <c r="I12" s="22" t="s">
        <v>239</v>
      </c>
      <c r="J12" s="22" t="s">
        <v>336</v>
      </c>
      <c r="K12" s="22" t="s">
        <v>253</v>
      </c>
    </row>
    <row r="13" spans="1:11" x14ac:dyDescent="0.25">
      <c r="F13" s="22" t="s">
        <v>14</v>
      </c>
      <c r="G13" s="22" t="s">
        <v>77</v>
      </c>
      <c r="H13" s="22" t="s">
        <v>386</v>
      </c>
      <c r="I13" s="22" t="s">
        <v>240</v>
      </c>
      <c r="J13" s="22" t="s">
        <v>336</v>
      </c>
      <c r="K13" s="22" t="s">
        <v>251</v>
      </c>
    </row>
    <row r="14" spans="1:11" x14ac:dyDescent="0.25">
      <c r="F14" s="22" t="s">
        <v>14</v>
      </c>
      <c r="G14" s="22" t="s">
        <v>77</v>
      </c>
      <c r="H14" s="22" t="s">
        <v>386</v>
      </c>
      <c r="I14" s="22" t="s">
        <v>242</v>
      </c>
      <c r="J14" s="22" t="s">
        <v>336</v>
      </c>
      <c r="K14" s="22" t="s">
        <v>254</v>
      </c>
    </row>
    <row r="15" spans="1:11" x14ac:dyDescent="0.25">
      <c r="F15" s="22" t="s">
        <v>14</v>
      </c>
      <c r="G15" s="22" t="s">
        <v>77</v>
      </c>
      <c r="H15" s="22" t="s">
        <v>386</v>
      </c>
      <c r="I15" s="22" t="s">
        <v>243</v>
      </c>
      <c r="J15" s="22" t="s">
        <v>336</v>
      </c>
      <c r="K15" s="22" t="s">
        <v>255</v>
      </c>
    </row>
    <row r="16" spans="1:11" x14ac:dyDescent="0.25">
      <c r="F16" s="22" t="s">
        <v>14</v>
      </c>
      <c r="G16" s="22" t="s">
        <v>77</v>
      </c>
      <c r="H16" s="22" t="s">
        <v>387</v>
      </c>
      <c r="I16" s="22" t="s">
        <v>114</v>
      </c>
      <c r="J16" s="22" t="s">
        <v>335</v>
      </c>
      <c r="K16" s="22" t="s">
        <v>291</v>
      </c>
    </row>
    <row r="17" spans="6:11" x14ac:dyDescent="0.25">
      <c r="F17" s="22" t="s">
        <v>14</v>
      </c>
      <c r="G17" s="22" t="s">
        <v>77</v>
      </c>
      <c r="H17" s="22" t="s">
        <v>387</v>
      </c>
      <c r="I17" s="22" t="s">
        <v>115</v>
      </c>
      <c r="J17" s="22" t="s">
        <v>335</v>
      </c>
      <c r="K17" s="22" t="s">
        <v>259</v>
      </c>
    </row>
    <row r="18" spans="6:11" x14ac:dyDescent="0.25">
      <c r="F18" s="22" t="s">
        <v>14</v>
      </c>
      <c r="G18" s="22" t="s">
        <v>77</v>
      </c>
      <c r="H18" s="22" t="s">
        <v>387</v>
      </c>
      <c r="I18" s="22" t="s">
        <v>116</v>
      </c>
      <c r="J18" s="22" t="s">
        <v>335</v>
      </c>
      <c r="K18" s="22" t="s">
        <v>260</v>
      </c>
    </row>
    <row r="19" spans="6:11" x14ac:dyDescent="0.25">
      <c r="F19" s="22" t="s">
        <v>14</v>
      </c>
      <c r="G19" s="22" t="s">
        <v>77</v>
      </c>
      <c r="H19" s="22" t="s">
        <v>387</v>
      </c>
      <c r="I19" s="22" t="s">
        <v>117</v>
      </c>
      <c r="J19" s="22" t="s">
        <v>335</v>
      </c>
      <c r="K19" s="22" t="s">
        <v>272</v>
      </c>
    </row>
    <row r="20" spans="6:11" x14ac:dyDescent="0.25">
      <c r="F20" s="22" t="s">
        <v>14</v>
      </c>
      <c r="G20" s="22" t="s">
        <v>77</v>
      </c>
      <c r="H20" s="22" t="s">
        <v>387</v>
      </c>
      <c r="I20" s="22" t="s">
        <v>118</v>
      </c>
      <c r="J20" s="22" t="s">
        <v>335</v>
      </c>
      <c r="K20" s="22" t="s">
        <v>262</v>
      </c>
    </row>
    <row r="21" spans="6:11" x14ac:dyDescent="0.25">
      <c r="F21" s="22" t="s">
        <v>14</v>
      </c>
      <c r="G21" s="22" t="s">
        <v>77</v>
      </c>
      <c r="H21" s="22" t="s">
        <v>387</v>
      </c>
      <c r="I21" s="22" t="s">
        <v>119</v>
      </c>
      <c r="J21" s="22" t="s">
        <v>335</v>
      </c>
      <c r="K21" s="22" t="s">
        <v>263</v>
      </c>
    </row>
    <row r="22" spans="6:11" x14ac:dyDescent="0.25">
      <c r="F22" s="22" t="s">
        <v>14</v>
      </c>
      <c r="G22" s="22" t="s">
        <v>77</v>
      </c>
      <c r="H22" s="22" t="s">
        <v>387</v>
      </c>
      <c r="I22" s="22" t="s">
        <v>120</v>
      </c>
      <c r="J22" s="22" t="s">
        <v>335</v>
      </c>
      <c r="K22" s="22" t="s">
        <v>264</v>
      </c>
    </row>
    <row r="23" spans="6:11" x14ac:dyDescent="0.25">
      <c r="F23" s="22" t="s">
        <v>14</v>
      </c>
      <c r="G23" s="22" t="s">
        <v>77</v>
      </c>
      <c r="H23" s="22" t="s">
        <v>387</v>
      </c>
      <c r="I23" s="22" t="s">
        <v>121</v>
      </c>
      <c r="J23" s="22" t="s">
        <v>335</v>
      </c>
      <c r="K23" s="22" t="s">
        <v>265</v>
      </c>
    </row>
    <row r="24" spans="6:11" x14ac:dyDescent="0.25">
      <c r="F24" s="22" t="s">
        <v>14</v>
      </c>
      <c r="G24" s="22" t="s">
        <v>77</v>
      </c>
      <c r="H24" s="22" t="s">
        <v>387</v>
      </c>
      <c r="I24" s="22" t="s">
        <v>122</v>
      </c>
      <c r="J24" s="22" t="s">
        <v>335</v>
      </c>
      <c r="K24" s="22" t="s">
        <v>274</v>
      </c>
    </row>
    <row r="25" spans="6:11" x14ac:dyDescent="0.25">
      <c r="F25" s="22" t="s">
        <v>14</v>
      </c>
      <c r="G25" s="22" t="s">
        <v>77</v>
      </c>
      <c r="H25" s="22" t="s">
        <v>387</v>
      </c>
      <c r="I25" s="22" t="s">
        <v>226</v>
      </c>
      <c r="J25" s="22" t="s">
        <v>335</v>
      </c>
      <c r="K25" s="22" t="s">
        <v>266</v>
      </c>
    </row>
    <row r="26" spans="6:11" x14ac:dyDescent="0.25">
      <c r="F26" s="22" t="s">
        <v>14</v>
      </c>
      <c r="G26" s="22" t="s">
        <v>77</v>
      </c>
      <c r="H26" s="22" t="s">
        <v>385</v>
      </c>
      <c r="I26" s="22" t="s">
        <v>230</v>
      </c>
      <c r="J26" s="22" t="s">
        <v>334</v>
      </c>
      <c r="K26" s="22" t="s">
        <v>267</v>
      </c>
    </row>
    <row r="27" spans="6:11" x14ac:dyDescent="0.25">
      <c r="F27" s="22" t="s">
        <v>14</v>
      </c>
      <c r="G27" s="22" t="s">
        <v>77</v>
      </c>
      <c r="H27" s="22" t="s">
        <v>385</v>
      </c>
      <c r="I27" s="22" t="s">
        <v>227</v>
      </c>
      <c r="J27" s="22" t="s">
        <v>334</v>
      </c>
      <c r="K27" s="22" t="s">
        <v>268</v>
      </c>
    </row>
    <row r="28" spans="6:11" x14ac:dyDescent="0.25">
      <c r="F28" s="22" t="s">
        <v>14</v>
      </c>
      <c r="G28" s="22" t="s">
        <v>77</v>
      </c>
      <c r="H28" s="22" t="s">
        <v>385</v>
      </c>
      <c r="I28" s="22" t="s">
        <v>228</v>
      </c>
      <c r="J28" s="22" t="s">
        <v>334</v>
      </c>
      <c r="K28" s="22" t="s">
        <v>269</v>
      </c>
    </row>
    <row r="29" spans="6:11" x14ac:dyDescent="0.25">
      <c r="F29" s="22" t="s">
        <v>14</v>
      </c>
      <c r="G29" s="22" t="s">
        <v>77</v>
      </c>
      <c r="H29" s="22" t="s">
        <v>385</v>
      </c>
      <c r="I29" s="22" t="s">
        <v>229</v>
      </c>
      <c r="J29" s="22" t="s">
        <v>334</v>
      </c>
      <c r="K29" s="22" t="s">
        <v>270</v>
      </c>
    </row>
    <row r="30" spans="6:11" x14ac:dyDescent="0.25">
      <c r="F30" s="24" t="s">
        <v>31</v>
      </c>
      <c r="G30" s="24" t="s">
        <v>76</v>
      </c>
      <c r="H30" s="24" t="s">
        <v>344</v>
      </c>
      <c r="I30" s="22" t="s">
        <v>123</v>
      </c>
      <c r="J30" s="22" t="s">
        <v>336</v>
      </c>
      <c r="K30" s="22"/>
    </row>
    <row r="31" spans="6:11" x14ac:dyDescent="0.25">
      <c r="F31" s="24" t="s">
        <v>31</v>
      </c>
      <c r="G31" s="24" t="s">
        <v>76</v>
      </c>
      <c r="H31" s="24" t="s">
        <v>344</v>
      </c>
      <c r="I31" s="22" t="s">
        <v>124</v>
      </c>
      <c r="J31" s="22" t="s">
        <v>336</v>
      </c>
      <c r="K31" s="22"/>
    </row>
    <row r="32" spans="6:11" x14ac:dyDescent="0.25">
      <c r="F32" s="24" t="s">
        <v>31</v>
      </c>
      <c r="G32" s="24" t="s">
        <v>76</v>
      </c>
      <c r="H32" s="24" t="s">
        <v>344</v>
      </c>
      <c r="I32" s="22" t="s">
        <v>125</v>
      </c>
      <c r="J32" s="22" t="s">
        <v>336</v>
      </c>
      <c r="K32" s="22"/>
    </row>
    <row r="33" spans="6:11" x14ac:dyDescent="0.25">
      <c r="F33" s="24" t="s">
        <v>31</v>
      </c>
      <c r="G33" s="24" t="s">
        <v>76</v>
      </c>
      <c r="H33" s="24" t="s">
        <v>344</v>
      </c>
      <c r="I33" s="22" t="s">
        <v>126</v>
      </c>
      <c r="J33" s="22" t="s">
        <v>336</v>
      </c>
      <c r="K33" s="22"/>
    </row>
    <row r="34" spans="6:11" x14ac:dyDescent="0.25">
      <c r="F34" s="24" t="s">
        <v>31</v>
      </c>
      <c r="G34" s="24" t="s">
        <v>76</v>
      </c>
      <c r="H34" s="24" t="s">
        <v>344</v>
      </c>
      <c r="I34" s="22" t="s">
        <v>127</v>
      </c>
      <c r="J34" s="22" t="s">
        <v>336</v>
      </c>
      <c r="K34" s="22"/>
    </row>
    <row r="35" spans="6:11" x14ac:dyDescent="0.25">
      <c r="F35" s="24" t="s">
        <v>31</v>
      </c>
      <c r="G35" s="24" t="s">
        <v>76</v>
      </c>
      <c r="H35" s="24" t="s">
        <v>344</v>
      </c>
      <c r="I35" s="22" t="s">
        <v>128</v>
      </c>
      <c r="J35" s="22" t="s">
        <v>336</v>
      </c>
      <c r="K35" s="22"/>
    </row>
    <row r="36" spans="6:11" x14ac:dyDescent="0.25">
      <c r="F36" s="24" t="s">
        <v>31</v>
      </c>
      <c r="G36" s="24" t="s">
        <v>76</v>
      </c>
      <c r="H36" s="24" t="s">
        <v>344</v>
      </c>
      <c r="I36" s="22" t="s">
        <v>129</v>
      </c>
      <c r="J36" s="22" t="s">
        <v>336</v>
      </c>
      <c r="K36" s="22"/>
    </row>
    <row r="37" spans="6:11" x14ac:dyDescent="0.25">
      <c r="F37" s="22" t="s">
        <v>14</v>
      </c>
      <c r="G37" s="22" t="s">
        <v>77</v>
      </c>
      <c r="H37" s="22" t="s">
        <v>384</v>
      </c>
      <c r="I37" s="22" t="s">
        <v>231</v>
      </c>
      <c r="J37" s="22" t="s">
        <v>333</v>
      </c>
      <c r="K37" s="22" t="s">
        <v>271</v>
      </c>
    </row>
    <row r="38" spans="6:11" x14ac:dyDescent="0.25">
      <c r="F38" s="22" t="s">
        <v>14</v>
      </c>
      <c r="G38" s="22" t="s">
        <v>77</v>
      </c>
      <c r="H38" s="22" t="s">
        <v>384</v>
      </c>
      <c r="I38" s="22" t="s">
        <v>234</v>
      </c>
      <c r="J38" s="22" t="s">
        <v>333</v>
      </c>
      <c r="K38" s="22" t="s">
        <v>261</v>
      </c>
    </row>
    <row r="39" spans="6:11" x14ac:dyDescent="0.25">
      <c r="F39" s="22" t="s">
        <v>14</v>
      </c>
      <c r="G39" s="22" t="s">
        <v>77</v>
      </c>
      <c r="H39" s="22" t="s">
        <v>384</v>
      </c>
      <c r="I39" s="22" t="s">
        <v>232</v>
      </c>
      <c r="J39" s="22" t="s">
        <v>333</v>
      </c>
      <c r="K39" s="22" t="s">
        <v>273</v>
      </c>
    </row>
    <row r="40" spans="6:11" x14ac:dyDescent="0.25">
      <c r="F40" s="22" t="s">
        <v>14</v>
      </c>
      <c r="G40" s="22" t="s">
        <v>77</v>
      </c>
      <c r="H40" s="22" t="s">
        <v>384</v>
      </c>
      <c r="I40" s="22" t="s">
        <v>233</v>
      </c>
      <c r="J40" s="22" t="s">
        <v>333</v>
      </c>
      <c r="K40" s="22" t="s">
        <v>275</v>
      </c>
    </row>
    <row r="41" spans="6:11" x14ac:dyDescent="0.25">
      <c r="F41" s="22" t="s">
        <v>14</v>
      </c>
      <c r="G41" s="22" t="s">
        <v>77</v>
      </c>
      <c r="H41" s="22" t="s">
        <v>384</v>
      </c>
      <c r="I41" s="22" t="s">
        <v>235</v>
      </c>
      <c r="J41" s="22" t="s">
        <v>333</v>
      </c>
      <c r="K41" s="22" t="s">
        <v>276</v>
      </c>
    </row>
    <row r="42" spans="6:11" x14ac:dyDescent="0.25">
      <c r="F42" s="24" t="s">
        <v>17</v>
      </c>
      <c r="G42" s="24" t="s">
        <v>81</v>
      </c>
      <c r="H42" s="24" t="s">
        <v>345</v>
      </c>
      <c r="I42" s="22" t="s">
        <v>130</v>
      </c>
      <c r="J42" s="22" t="s">
        <v>336</v>
      </c>
      <c r="K42" s="22"/>
    </row>
    <row r="43" spans="6:11" x14ac:dyDescent="0.25">
      <c r="F43" s="24" t="s">
        <v>17</v>
      </c>
      <c r="G43" s="24" t="s">
        <v>81</v>
      </c>
      <c r="H43" s="24" t="s">
        <v>345</v>
      </c>
      <c r="I43" s="22" t="s">
        <v>131</v>
      </c>
      <c r="J43" s="22" t="s">
        <v>336</v>
      </c>
      <c r="K43" s="22"/>
    </row>
    <row r="44" spans="6:11" x14ac:dyDescent="0.25">
      <c r="F44" s="24" t="s">
        <v>17</v>
      </c>
      <c r="G44" s="24" t="s">
        <v>81</v>
      </c>
      <c r="H44" s="24" t="s">
        <v>345</v>
      </c>
      <c r="I44" s="22" t="s">
        <v>132</v>
      </c>
      <c r="J44" s="22" t="s">
        <v>336</v>
      </c>
      <c r="K44" s="22"/>
    </row>
    <row r="45" spans="6:11" x14ac:dyDescent="0.25">
      <c r="F45" s="24" t="s">
        <v>17</v>
      </c>
      <c r="G45" s="24" t="s">
        <v>81</v>
      </c>
      <c r="H45" s="24" t="s">
        <v>345</v>
      </c>
      <c r="I45" s="22" t="s">
        <v>133</v>
      </c>
      <c r="J45" s="22" t="s">
        <v>336</v>
      </c>
      <c r="K45" s="22"/>
    </row>
    <row r="46" spans="6:11" x14ac:dyDescent="0.25">
      <c r="F46" s="24" t="s">
        <v>17</v>
      </c>
      <c r="G46" s="24" t="s">
        <v>81</v>
      </c>
      <c r="H46" s="24" t="s">
        <v>345</v>
      </c>
      <c r="I46" s="22" t="s">
        <v>134</v>
      </c>
      <c r="J46" s="22" t="s">
        <v>336</v>
      </c>
      <c r="K46" s="22"/>
    </row>
    <row r="47" spans="6:11" x14ac:dyDescent="0.25">
      <c r="F47" s="24" t="s">
        <v>17</v>
      </c>
      <c r="G47" s="24" t="s">
        <v>81</v>
      </c>
      <c r="H47" s="24" t="s">
        <v>345</v>
      </c>
      <c r="I47" s="22" t="s">
        <v>135</v>
      </c>
      <c r="J47" s="22" t="s">
        <v>336</v>
      </c>
      <c r="K47" s="22"/>
    </row>
    <row r="48" spans="6:11" x14ac:dyDescent="0.25">
      <c r="F48" s="24" t="s">
        <v>17</v>
      </c>
      <c r="G48" s="24" t="s">
        <v>81</v>
      </c>
      <c r="H48" s="24" t="s">
        <v>345</v>
      </c>
      <c r="I48" s="22" t="s">
        <v>136</v>
      </c>
      <c r="J48" s="22" t="s">
        <v>336</v>
      </c>
      <c r="K48" s="22"/>
    </row>
    <row r="49" spans="6:11" x14ac:dyDescent="0.25">
      <c r="F49" s="24" t="s">
        <v>17</v>
      </c>
      <c r="G49" s="24" t="s">
        <v>81</v>
      </c>
      <c r="H49" s="24" t="s">
        <v>345</v>
      </c>
      <c r="I49" s="22" t="s">
        <v>137</v>
      </c>
      <c r="J49" s="22" t="s">
        <v>336</v>
      </c>
      <c r="K49" s="22"/>
    </row>
    <row r="50" spans="6:11" x14ac:dyDescent="0.25">
      <c r="F50" s="24" t="s">
        <v>17</v>
      </c>
      <c r="G50" s="24" t="s">
        <v>81</v>
      </c>
      <c r="H50" s="24" t="s">
        <v>345</v>
      </c>
      <c r="I50" s="22" t="s">
        <v>138</v>
      </c>
      <c r="J50" s="22" t="s">
        <v>336</v>
      </c>
      <c r="K50" s="22"/>
    </row>
    <row r="51" spans="6:11" x14ac:dyDescent="0.25">
      <c r="F51" s="24" t="s">
        <v>17</v>
      </c>
      <c r="G51" s="24" t="s">
        <v>81</v>
      </c>
      <c r="H51" s="24" t="s">
        <v>345</v>
      </c>
      <c r="I51" s="22" t="s">
        <v>139</v>
      </c>
      <c r="J51" s="22" t="s">
        <v>336</v>
      </c>
      <c r="K51" s="22"/>
    </row>
    <row r="52" spans="6:11" x14ac:dyDescent="0.25">
      <c r="F52" s="24" t="s">
        <v>17</v>
      </c>
      <c r="G52" s="24" t="s">
        <v>81</v>
      </c>
      <c r="H52" s="24" t="s">
        <v>345</v>
      </c>
      <c r="I52" s="22" t="s">
        <v>140</v>
      </c>
      <c r="J52" s="22" t="s">
        <v>336</v>
      </c>
      <c r="K52" s="22"/>
    </row>
    <row r="53" spans="6:11" x14ac:dyDescent="0.25">
      <c r="F53" s="24" t="s">
        <v>17</v>
      </c>
      <c r="G53" s="24" t="s">
        <v>81</v>
      </c>
      <c r="H53" s="24" t="s">
        <v>345</v>
      </c>
      <c r="I53" s="22" t="s">
        <v>141</v>
      </c>
      <c r="J53" s="22" t="s">
        <v>336</v>
      </c>
      <c r="K53" s="22"/>
    </row>
    <row r="54" spans="6:11" x14ac:dyDescent="0.25">
      <c r="F54" s="24" t="s">
        <v>17</v>
      </c>
      <c r="G54" s="24" t="s">
        <v>81</v>
      </c>
      <c r="H54" s="24" t="s">
        <v>345</v>
      </c>
      <c r="I54" s="22" t="s">
        <v>142</v>
      </c>
      <c r="J54" s="22" t="s">
        <v>336</v>
      </c>
      <c r="K54" s="22"/>
    </row>
    <row r="55" spans="6:11" x14ac:dyDescent="0.25">
      <c r="F55" s="24" t="s">
        <v>17</v>
      </c>
      <c r="G55" s="24" t="s">
        <v>81</v>
      </c>
      <c r="H55" s="24" t="s">
        <v>345</v>
      </c>
      <c r="I55" s="22" t="s">
        <v>143</v>
      </c>
      <c r="J55" s="22" t="s">
        <v>336</v>
      </c>
      <c r="K55" s="22"/>
    </row>
    <row r="56" spans="6:11" x14ac:dyDescent="0.25">
      <c r="F56" s="24" t="s">
        <v>17</v>
      </c>
      <c r="G56" s="24" t="s">
        <v>81</v>
      </c>
      <c r="H56" s="24" t="s">
        <v>345</v>
      </c>
      <c r="I56" s="22" t="s">
        <v>144</v>
      </c>
      <c r="J56" s="22" t="s">
        <v>336</v>
      </c>
      <c r="K56" s="22"/>
    </row>
    <row r="57" spans="6:11" x14ac:dyDescent="0.25">
      <c r="F57" s="24" t="s">
        <v>17</v>
      </c>
      <c r="G57" s="24" t="s">
        <v>81</v>
      </c>
      <c r="H57" s="24" t="s">
        <v>345</v>
      </c>
      <c r="I57" s="22" t="s">
        <v>145</v>
      </c>
      <c r="J57" s="22" t="s">
        <v>336</v>
      </c>
      <c r="K57" s="22"/>
    </row>
    <row r="58" spans="6:11" x14ac:dyDescent="0.25">
      <c r="F58" s="24" t="s">
        <v>17</v>
      </c>
      <c r="G58" s="24" t="s">
        <v>81</v>
      </c>
      <c r="H58" s="24" t="s">
        <v>345</v>
      </c>
      <c r="I58" s="22" t="s">
        <v>146</v>
      </c>
      <c r="J58" s="22" t="s">
        <v>336</v>
      </c>
      <c r="K58" s="22"/>
    </row>
    <row r="59" spans="6:11" x14ac:dyDescent="0.25">
      <c r="F59" s="24" t="s">
        <v>17</v>
      </c>
      <c r="G59" s="24" t="s">
        <v>81</v>
      </c>
      <c r="H59" s="24" t="s">
        <v>345</v>
      </c>
      <c r="I59" s="22" t="s">
        <v>147</v>
      </c>
      <c r="J59" s="22" t="s">
        <v>336</v>
      </c>
      <c r="K59" s="22"/>
    </row>
    <row r="60" spans="6:11" x14ac:dyDescent="0.25">
      <c r="F60" s="24" t="s">
        <v>17</v>
      </c>
      <c r="G60" s="24" t="s">
        <v>81</v>
      </c>
      <c r="H60" s="24" t="s">
        <v>345</v>
      </c>
      <c r="I60" s="22" t="s">
        <v>148</v>
      </c>
      <c r="J60" s="22" t="s">
        <v>336</v>
      </c>
      <c r="K60" s="22"/>
    </row>
    <row r="61" spans="6:11" x14ac:dyDescent="0.25">
      <c r="F61" s="22" t="s">
        <v>14</v>
      </c>
      <c r="G61" s="22" t="s">
        <v>77</v>
      </c>
      <c r="H61" s="22" t="s">
        <v>385</v>
      </c>
      <c r="I61" s="22" t="s">
        <v>246</v>
      </c>
      <c r="J61" s="22" t="s">
        <v>334</v>
      </c>
      <c r="K61" s="22" t="s">
        <v>313</v>
      </c>
    </row>
    <row r="62" spans="6:11" x14ac:dyDescent="0.25">
      <c r="F62" s="22" t="s">
        <v>14</v>
      </c>
      <c r="G62" s="22" t="s">
        <v>77</v>
      </c>
      <c r="H62" s="22" t="s">
        <v>385</v>
      </c>
      <c r="I62" s="22" t="s">
        <v>247</v>
      </c>
      <c r="J62" s="22" t="s">
        <v>334</v>
      </c>
      <c r="K62" s="22" t="s">
        <v>313</v>
      </c>
    </row>
    <row r="63" spans="6:11" x14ac:dyDescent="0.25">
      <c r="F63" s="24" t="s">
        <v>19</v>
      </c>
      <c r="G63" s="24" t="s">
        <v>80</v>
      </c>
      <c r="H63" s="24" t="s">
        <v>346</v>
      </c>
      <c r="I63" s="22" t="s">
        <v>149</v>
      </c>
      <c r="J63" s="22" t="s">
        <v>334</v>
      </c>
      <c r="K63" s="22" t="s">
        <v>313</v>
      </c>
    </row>
    <row r="64" spans="6:11" x14ac:dyDescent="0.25">
      <c r="F64" s="24" t="s">
        <v>19</v>
      </c>
      <c r="G64" s="24" t="s">
        <v>80</v>
      </c>
      <c r="H64" s="24" t="s">
        <v>346</v>
      </c>
      <c r="I64" s="22" t="s">
        <v>150</v>
      </c>
      <c r="J64" s="22" t="s">
        <v>334</v>
      </c>
      <c r="K64" s="22" t="s">
        <v>313</v>
      </c>
    </row>
    <row r="65" spans="6:11" x14ac:dyDescent="0.25">
      <c r="F65" s="22" t="s">
        <v>14</v>
      </c>
      <c r="G65" s="24" t="s">
        <v>80</v>
      </c>
      <c r="H65" s="24" t="s">
        <v>346</v>
      </c>
      <c r="I65" s="22" t="s">
        <v>151</v>
      </c>
      <c r="J65" s="22" t="s">
        <v>334</v>
      </c>
      <c r="K65" s="22" t="s">
        <v>313</v>
      </c>
    </row>
    <row r="66" spans="6:11" x14ac:dyDescent="0.25">
      <c r="F66" s="24" t="s">
        <v>19</v>
      </c>
      <c r="G66" s="24" t="s">
        <v>80</v>
      </c>
      <c r="H66" s="24" t="s">
        <v>346</v>
      </c>
      <c r="I66" s="22" t="s">
        <v>152</v>
      </c>
      <c r="J66" s="22" t="s">
        <v>334</v>
      </c>
      <c r="K66" s="22"/>
    </row>
    <row r="67" spans="6:11" x14ac:dyDescent="0.25">
      <c r="F67" s="24" t="s">
        <v>19</v>
      </c>
      <c r="G67" s="24" t="s">
        <v>80</v>
      </c>
      <c r="H67" s="24"/>
      <c r="I67" s="24"/>
      <c r="J67" s="22" t="s">
        <v>334</v>
      </c>
      <c r="K67" s="22"/>
    </row>
    <row r="68" spans="6:11" x14ac:dyDescent="0.25">
      <c r="F68" s="24" t="s">
        <v>21</v>
      </c>
      <c r="G68" s="24" t="s">
        <v>74</v>
      </c>
      <c r="H68" s="24" t="s">
        <v>347</v>
      </c>
      <c r="I68" s="22" t="s">
        <v>153</v>
      </c>
      <c r="J68" s="22" t="s">
        <v>336</v>
      </c>
      <c r="K68" s="22"/>
    </row>
    <row r="69" spans="6:11" x14ac:dyDescent="0.25">
      <c r="F69" s="24" t="s">
        <v>21</v>
      </c>
      <c r="G69" s="24" t="s">
        <v>74</v>
      </c>
      <c r="H69" s="24" t="s">
        <v>347</v>
      </c>
      <c r="I69" s="22" t="s">
        <v>154</v>
      </c>
      <c r="J69" s="22" t="s">
        <v>336</v>
      </c>
      <c r="K69" s="22"/>
    </row>
    <row r="70" spans="6:11" x14ac:dyDescent="0.25">
      <c r="F70" s="24" t="s">
        <v>16</v>
      </c>
      <c r="G70" s="24" t="s">
        <v>68</v>
      </c>
      <c r="H70" s="24" t="s">
        <v>348</v>
      </c>
      <c r="I70" s="22" t="s">
        <v>155</v>
      </c>
      <c r="J70" s="22" t="s">
        <v>334</v>
      </c>
      <c r="K70" s="22" t="s">
        <v>314</v>
      </c>
    </row>
    <row r="71" spans="6:11" x14ac:dyDescent="0.25">
      <c r="F71" s="24" t="s">
        <v>16</v>
      </c>
      <c r="G71" s="24" t="s">
        <v>68</v>
      </c>
      <c r="H71" s="24" t="s">
        <v>348</v>
      </c>
      <c r="I71" s="22" t="s">
        <v>156</v>
      </c>
      <c r="J71" s="22" t="s">
        <v>334</v>
      </c>
      <c r="K71" s="22" t="s">
        <v>314</v>
      </c>
    </row>
    <row r="72" spans="6:11" x14ac:dyDescent="0.25">
      <c r="F72" s="24" t="s">
        <v>16</v>
      </c>
      <c r="G72" s="24" t="s">
        <v>68</v>
      </c>
      <c r="H72" s="24" t="s">
        <v>348</v>
      </c>
      <c r="I72" s="22" t="s">
        <v>157</v>
      </c>
      <c r="J72" s="22" t="s">
        <v>334</v>
      </c>
      <c r="K72" s="22" t="s">
        <v>314</v>
      </c>
    </row>
    <row r="73" spans="6:11" x14ac:dyDescent="0.25">
      <c r="F73" s="24" t="s">
        <v>16</v>
      </c>
      <c r="G73" s="24" t="s">
        <v>68</v>
      </c>
      <c r="H73" s="24" t="s">
        <v>348</v>
      </c>
      <c r="I73" s="22" t="s">
        <v>158</v>
      </c>
      <c r="J73" s="22" t="s">
        <v>334</v>
      </c>
      <c r="K73" s="22" t="s">
        <v>314</v>
      </c>
    </row>
    <row r="74" spans="6:11" x14ac:dyDescent="0.25">
      <c r="F74" s="24" t="s">
        <v>17</v>
      </c>
      <c r="G74" s="24" t="s">
        <v>81</v>
      </c>
      <c r="H74" s="24" t="s">
        <v>349</v>
      </c>
      <c r="I74" s="22" t="s">
        <v>159</v>
      </c>
      <c r="J74" s="22" t="s">
        <v>334</v>
      </c>
      <c r="K74" s="22"/>
    </row>
    <row r="75" spans="6:11" x14ac:dyDescent="0.25">
      <c r="F75" s="24" t="s">
        <v>17</v>
      </c>
      <c r="G75" s="24" t="s">
        <v>81</v>
      </c>
      <c r="H75" s="24" t="s">
        <v>349</v>
      </c>
      <c r="I75" s="22" t="s">
        <v>160</v>
      </c>
      <c r="J75" s="22" t="s">
        <v>334</v>
      </c>
      <c r="K75" s="22"/>
    </row>
    <row r="76" spans="6:11" x14ac:dyDescent="0.25">
      <c r="F76" s="24" t="s">
        <v>17</v>
      </c>
      <c r="G76" s="24" t="s">
        <v>81</v>
      </c>
      <c r="H76" s="24" t="s">
        <v>349</v>
      </c>
      <c r="I76" s="22" t="s">
        <v>161</v>
      </c>
      <c r="J76" s="22" t="s">
        <v>334</v>
      </c>
      <c r="K76" s="22"/>
    </row>
    <row r="77" spans="6:11" x14ac:dyDescent="0.25">
      <c r="F77" s="24" t="s">
        <v>17</v>
      </c>
      <c r="G77" s="24" t="s">
        <v>81</v>
      </c>
      <c r="H77" s="24" t="s">
        <v>349</v>
      </c>
      <c r="I77" s="22" t="s">
        <v>162</v>
      </c>
      <c r="J77" s="22" t="s">
        <v>334</v>
      </c>
      <c r="K77" s="22"/>
    </row>
    <row r="78" spans="6:11" x14ac:dyDescent="0.25">
      <c r="F78" s="24" t="s">
        <v>31</v>
      </c>
      <c r="G78" s="24" t="s">
        <v>76</v>
      </c>
      <c r="H78" s="24" t="s">
        <v>350</v>
      </c>
      <c r="I78" s="22" t="s">
        <v>163</v>
      </c>
      <c r="J78" s="22" t="s">
        <v>334</v>
      </c>
      <c r="K78" s="22"/>
    </row>
    <row r="79" spans="6:11" x14ac:dyDescent="0.25">
      <c r="F79" s="24" t="s">
        <v>31</v>
      </c>
      <c r="G79" s="24" t="s">
        <v>76</v>
      </c>
      <c r="H79" s="24" t="s">
        <v>350</v>
      </c>
      <c r="I79" s="22" t="s">
        <v>164</v>
      </c>
      <c r="J79" s="22" t="s">
        <v>334</v>
      </c>
      <c r="K79" s="22"/>
    </row>
    <row r="80" spans="6:11" x14ac:dyDescent="0.25">
      <c r="F80" s="24" t="s">
        <v>31</v>
      </c>
      <c r="G80" s="24" t="s">
        <v>76</v>
      </c>
      <c r="H80" s="24" t="s">
        <v>350</v>
      </c>
      <c r="I80" s="22" t="s">
        <v>165</v>
      </c>
      <c r="J80" s="22" t="s">
        <v>334</v>
      </c>
      <c r="K80" s="22"/>
    </row>
    <row r="81" spans="6:11" x14ac:dyDescent="0.25">
      <c r="F81" s="24" t="s">
        <v>21</v>
      </c>
      <c r="G81" s="24" t="s">
        <v>74</v>
      </c>
      <c r="H81" s="24" t="s">
        <v>351</v>
      </c>
      <c r="I81" s="22" t="s">
        <v>166</v>
      </c>
      <c r="J81" s="22" t="s">
        <v>334</v>
      </c>
      <c r="K81" s="22"/>
    </row>
    <row r="82" spans="6:11" x14ac:dyDescent="0.25">
      <c r="F82" s="24" t="s">
        <v>21</v>
      </c>
      <c r="G82" s="24" t="s">
        <v>74</v>
      </c>
      <c r="H82" s="24" t="s">
        <v>351</v>
      </c>
      <c r="I82" s="22" t="s">
        <v>167</v>
      </c>
      <c r="J82" s="22" t="s">
        <v>334</v>
      </c>
      <c r="K82" s="22"/>
    </row>
    <row r="83" spans="6:11" x14ac:dyDescent="0.25">
      <c r="F83" s="24" t="s">
        <v>21</v>
      </c>
      <c r="G83" s="24" t="s">
        <v>74</v>
      </c>
      <c r="H83" s="24" t="s">
        <v>351</v>
      </c>
      <c r="I83" s="22" t="s">
        <v>168</v>
      </c>
      <c r="J83" s="22" t="s">
        <v>334</v>
      </c>
      <c r="K83" s="22"/>
    </row>
    <row r="84" spans="6:11" x14ac:dyDescent="0.25">
      <c r="F84" s="24" t="s">
        <v>21</v>
      </c>
      <c r="G84" s="24" t="s">
        <v>74</v>
      </c>
      <c r="H84" s="24" t="s">
        <v>351</v>
      </c>
      <c r="I84" s="22" t="s">
        <v>169</v>
      </c>
      <c r="J84" s="22" t="s">
        <v>334</v>
      </c>
      <c r="K84" s="22"/>
    </row>
    <row r="85" spans="6:11" x14ac:dyDescent="0.25">
      <c r="F85" s="24" t="s">
        <v>21</v>
      </c>
      <c r="G85" s="24" t="s">
        <v>74</v>
      </c>
      <c r="H85" s="24" t="s">
        <v>351</v>
      </c>
      <c r="I85" s="22" t="s">
        <v>170</v>
      </c>
      <c r="J85" s="22" t="s">
        <v>334</v>
      </c>
      <c r="K85" s="22"/>
    </row>
    <row r="86" spans="6:11" x14ac:dyDescent="0.25">
      <c r="F86" s="22" t="s">
        <v>14</v>
      </c>
      <c r="G86" s="22" t="s">
        <v>77</v>
      </c>
      <c r="H86" s="22" t="s">
        <v>387</v>
      </c>
      <c r="I86" s="22" t="s">
        <v>244</v>
      </c>
      <c r="J86" s="22" t="s">
        <v>335</v>
      </c>
      <c r="K86" s="22" t="s">
        <v>315</v>
      </c>
    </row>
    <row r="87" spans="6:11" x14ac:dyDescent="0.25">
      <c r="F87" s="22" t="s">
        <v>14</v>
      </c>
      <c r="G87" s="22" t="s">
        <v>77</v>
      </c>
      <c r="H87" s="22" t="s">
        <v>387</v>
      </c>
      <c r="I87" s="22" t="s">
        <v>245</v>
      </c>
      <c r="J87" s="22" t="s">
        <v>335</v>
      </c>
      <c r="K87" s="22" t="s">
        <v>277</v>
      </c>
    </row>
    <row r="88" spans="6:11" x14ac:dyDescent="0.25">
      <c r="F88" s="22" t="s">
        <v>14</v>
      </c>
      <c r="G88" s="22" t="s">
        <v>77</v>
      </c>
      <c r="H88" s="22" t="s">
        <v>387</v>
      </c>
      <c r="I88" s="22" t="s">
        <v>248</v>
      </c>
      <c r="J88" s="22" t="s">
        <v>335</v>
      </c>
      <c r="K88" s="22" t="s">
        <v>278</v>
      </c>
    </row>
    <row r="89" spans="6:11" x14ac:dyDescent="0.25">
      <c r="F89" s="22" t="s">
        <v>14</v>
      </c>
      <c r="G89" s="22" t="s">
        <v>77</v>
      </c>
      <c r="H89" s="22" t="s">
        <v>387</v>
      </c>
      <c r="I89" s="22" t="s">
        <v>249</v>
      </c>
      <c r="J89" s="22" t="s">
        <v>335</v>
      </c>
      <c r="K89" s="22" t="s">
        <v>279</v>
      </c>
    </row>
    <row r="90" spans="6:11" x14ac:dyDescent="0.25">
      <c r="F90" s="24" t="s">
        <v>18</v>
      </c>
      <c r="G90" s="24" t="s">
        <v>69</v>
      </c>
      <c r="H90" s="24" t="s">
        <v>352</v>
      </c>
      <c r="I90" s="22" t="s">
        <v>225</v>
      </c>
      <c r="J90" s="22" t="s">
        <v>334</v>
      </c>
      <c r="K90" s="22" t="s">
        <v>316</v>
      </c>
    </row>
    <row r="91" spans="6:11" x14ac:dyDescent="0.25">
      <c r="F91" s="24" t="s">
        <v>18</v>
      </c>
      <c r="G91" s="24" t="s">
        <v>69</v>
      </c>
      <c r="H91" s="24" t="s">
        <v>352</v>
      </c>
      <c r="I91" s="22" t="s">
        <v>221</v>
      </c>
      <c r="J91" s="22" t="s">
        <v>334</v>
      </c>
      <c r="K91" s="22" t="s">
        <v>316</v>
      </c>
    </row>
    <row r="92" spans="6:11" x14ac:dyDescent="0.25">
      <c r="F92" s="24" t="s">
        <v>18</v>
      </c>
      <c r="G92" s="24" t="s">
        <v>69</v>
      </c>
      <c r="H92" s="24" t="s">
        <v>352</v>
      </c>
      <c r="I92" s="22" t="s">
        <v>222</v>
      </c>
      <c r="J92" s="22" t="s">
        <v>334</v>
      </c>
      <c r="K92" s="22" t="s">
        <v>316</v>
      </c>
    </row>
    <row r="93" spans="6:11" x14ac:dyDescent="0.25">
      <c r="F93" s="24" t="s">
        <v>18</v>
      </c>
      <c r="G93" s="24" t="s">
        <v>69</v>
      </c>
      <c r="H93" s="24" t="s">
        <v>352</v>
      </c>
      <c r="I93" s="22" t="s">
        <v>223</v>
      </c>
      <c r="J93" s="22" t="s">
        <v>334</v>
      </c>
      <c r="K93" s="22" t="s">
        <v>316</v>
      </c>
    </row>
    <row r="94" spans="6:11" x14ac:dyDescent="0.25">
      <c r="F94" s="24" t="s">
        <v>18</v>
      </c>
      <c r="G94" s="24" t="s">
        <v>69</v>
      </c>
      <c r="H94" s="24" t="s">
        <v>352</v>
      </c>
      <c r="I94" s="22" t="s">
        <v>224</v>
      </c>
      <c r="J94" s="22" t="s">
        <v>334</v>
      </c>
      <c r="K94" s="22" t="s">
        <v>316</v>
      </c>
    </row>
    <row r="95" spans="6:11" x14ac:dyDescent="0.25">
      <c r="F95" s="24" t="s">
        <v>17</v>
      </c>
      <c r="G95" s="24" t="s">
        <v>81</v>
      </c>
      <c r="H95" s="24" t="s">
        <v>353</v>
      </c>
      <c r="I95" s="22" t="s">
        <v>171</v>
      </c>
      <c r="J95" s="22" t="s">
        <v>336</v>
      </c>
      <c r="K95" s="22"/>
    </row>
    <row r="96" spans="6:11" x14ac:dyDescent="0.25">
      <c r="F96" s="24" t="s">
        <v>17</v>
      </c>
      <c r="G96" s="24" t="s">
        <v>81</v>
      </c>
      <c r="H96" s="24" t="s">
        <v>353</v>
      </c>
      <c r="I96" s="22" t="s">
        <v>172</v>
      </c>
      <c r="J96" s="22" t="s">
        <v>336</v>
      </c>
      <c r="K96" s="22"/>
    </row>
    <row r="97" spans="6:11" x14ac:dyDescent="0.25">
      <c r="F97" s="24" t="s">
        <v>17</v>
      </c>
      <c r="G97" s="24" t="s">
        <v>81</v>
      </c>
      <c r="H97" s="24" t="s">
        <v>353</v>
      </c>
      <c r="I97" s="22" t="s">
        <v>173</v>
      </c>
      <c r="J97" s="22" t="s">
        <v>336</v>
      </c>
      <c r="K97" s="22"/>
    </row>
    <row r="98" spans="6:11" x14ac:dyDescent="0.25">
      <c r="F98" s="24" t="s">
        <v>17</v>
      </c>
      <c r="G98" s="24" t="s">
        <v>81</v>
      </c>
      <c r="H98" s="24" t="s">
        <v>353</v>
      </c>
      <c r="I98" s="22" t="s">
        <v>174</v>
      </c>
      <c r="J98" s="22" t="s">
        <v>336</v>
      </c>
      <c r="K98" s="22"/>
    </row>
    <row r="99" spans="6:11" x14ac:dyDescent="0.25">
      <c r="F99" s="24" t="s">
        <v>17</v>
      </c>
      <c r="G99" s="24" t="s">
        <v>81</v>
      </c>
      <c r="H99" s="24" t="s">
        <v>353</v>
      </c>
      <c r="I99" s="22" t="s">
        <v>175</v>
      </c>
      <c r="J99" s="22" t="s">
        <v>336</v>
      </c>
      <c r="K99" s="22"/>
    </row>
    <row r="100" spans="6:11" x14ac:dyDescent="0.25">
      <c r="F100" s="24" t="s">
        <v>10</v>
      </c>
      <c r="G100" s="24" t="s">
        <v>71</v>
      </c>
      <c r="H100" s="24" t="s">
        <v>354</v>
      </c>
      <c r="I100" s="22" t="s">
        <v>176</v>
      </c>
      <c r="J100" s="22" t="s">
        <v>336</v>
      </c>
      <c r="K100" s="22" t="s">
        <v>256</v>
      </c>
    </row>
    <row r="101" spans="6:11" x14ac:dyDescent="0.25">
      <c r="F101" s="24" t="s">
        <v>10</v>
      </c>
      <c r="G101" s="24" t="s">
        <v>71</v>
      </c>
      <c r="H101" s="24" t="s">
        <v>354</v>
      </c>
      <c r="I101" s="22" t="s">
        <v>177</v>
      </c>
      <c r="J101" s="22" t="s">
        <v>336</v>
      </c>
      <c r="K101" s="22" t="s">
        <v>257</v>
      </c>
    </row>
    <row r="102" spans="6:11" x14ac:dyDescent="0.25">
      <c r="F102" s="24" t="s">
        <v>10</v>
      </c>
      <c r="G102" s="24" t="s">
        <v>71</v>
      </c>
      <c r="H102" s="24" t="s">
        <v>354</v>
      </c>
      <c r="I102" s="22" t="s">
        <v>178</v>
      </c>
      <c r="J102" s="22" t="s">
        <v>336</v>
      </c>
      <c r="K102" s="22" t="s">
        <v>280</v>
      </c>
    </row>
    <row r="103" spans="6:11" x14ac:dyDescent="0.25">
      <c r="F103" s="24" t="s">
        <v>10</v>
      </c>
      <c r="G103" s="24" t="s">
        <v>71</v>
      </c>
      <c r="H103" s="24" t="s">
        <v>354</v>
      </c>
      <c r="I103" s="22" t="s">
        <v>179</v>
      </c>
      <c r="J103" s="22" t="s">
        <v>336</v>
      </c>
      <c r="K103" s="22" t="s">
        <v>281</v>
      </c>
    </row>
    <row r="104" spans="6:11" x14ac:dyDescent="0.25">
      <c r="F104" s="24" t="s">
        <v>10</v>
      </c>
      <c r="G104" s="24" t="s">
        <v>71</v>
      </c>
      <c r="H104" s="24" t="s">
        <v>354</v>
      </c>
      <c r="I104" s="22" t="s">
        <v>180</v>
      </c>
      <c r="J104" s="22" t="s">
        <v>336</v>
      </c>
      <c r="K104" s="22" t="s">
        <v>258</v>
      </c>
    </row>
    <row r="105" spans="6:11" x14ac:dyDescent="0.25">
      <c r="F105" s="24" t="s">
        <v>10</v>
      </c>
      <c r="G105" s="24" t="s">
        <v>71</v>
      </c>
      <c r="H105" s="24" t="s">
        <v>354</v>
      </c>
      <c r="I105" s="22" t="s">
        <v>181</v>
      </c>
      <c r="J105" s="22" t="s">
        <v>336</v>
      </c>
      <c r="K105" s="22" t="s">
        <v>282</v>
      </c>
    </row>
    <row r="106" spans="6:11" x14ac:dyDescent="0.25">
      <c r="F106" s="24" t="s">
        <v>18</v>
      </c>
      <c r="G106" s="24" t="s">
        <v>69</v>
      </c>
      <c r="H106" s="24" t="s">
        <v>355</v>
      </c>
      <c r="I106" s="22" t="s">
        <v>182</v>
      </c>
      <c r="J106" s="22" t="s">
        <v>335</v>
      </c>
      <c r="K106" s="22" t="s">
        <v>317</v>
      </c>
    </row>
    <row r="107" spans="6:11" x14ac:dyDescent="0.25">
      <c r="F107" s="24" t="s">
        <v>18</v>
      </c>
      <c r="G107" s="24" t="s">
        <v>69</v>
      </c>
      <c r="H107" s="24" t="s">
        <v>355</v>
      </c>
      <c r="I107" s="22" t="s">
        <v>183</v>
      </c>
      <c r="J107" s="22" t="s">
        <v>335</v>
      </c>
      <c r="K107" s="22" t="s">
        <v>317</v>
      </c>
    </row>
    <row r="108" spans="6:11" x14ac:dyDescent="0.25">
      <c r="F108" s="24" t="s">
        <v>18</v>
      </c>
      <c r="G108" s="24" t="s">
        <v>69</v>
      </c>
      <c r="H108" s="24" t="s">
        <v>355</v>
      </c>
      <c r="I108" s="22" t="s">
        <v>184</v>
      </c>
      <c r="J108" s="22" t="s">
        <v>335</v>
      </c>
      <c r="K108" s="22" t="s">
        <v>317</v>
      </c>
    </row>
    <row r="109" spans="6:11" x14ac:dyDescent="0.25">
      <c r="F109" s="24" t="s">
        <v>18</v>
      </c>
      <c r="G109" s="24" t="s">
        <v>69</v>
      </c>
      <c r="H109" s="24" t="s">
        <v>355</v>
      </c>
      <c r="I109" s="22" t="s">
        <v>185</v>
      </c>
      <c r="J109" s="22" t="s">
        <v>335</v>
      </c>
      <c r="K109" s="22" t="s">
        <v>317</v>
      </c>
    </row>
    <row r="110" spans="6:11" x14ac:dyDescent="0.25">
      <c r="F110" s="24" t="s">
        <v>18</v>
      </c>
      <c r="G110" s="24" t="s">
        <v>69</v>
      </c>
      <c r="H110" s="24" t="s">
        <v>355</v>
      </c>
      <c r="I110" s="22" t="s">
        <v>186</v>
      </c>
      <c r="J110" s="22" t="s">
        <v>335</v>
      </c>
      <c r="K110" s="22" t="s">
        <v>317</v>
      </c>
    </row>
    <row r="111" spans="6:11" x14ac:dyDescent="0.25">
      <c r="F111" s="24" t="s">
        <v>18</v>
      </c>
      <c r="G111" s="24" t="s">
        <v>69</v>
      </c>
      <c r="H111" s="24" t="s">
        <v>355</v>
      </c>
      <c r="I111" s="22" t="s">
        <v>187</v>
      </c>
      <c r="J111" s="22" t="s">
        <v>335</v>
      </c>
      <c r="K111" s="22" t="s">
        <v>317</v>
      </c>
    </row>
    <row r="112" spans="6:11" x14ac:dyDescent="0.25">
      <c r="F112" s="24" t="s">
        <v>18</v>
      </c>
      <c r="G112" s="24" t="s">
        <v>69</v>
      </c>
      <c r="H112" s="24" t="s">
        <v>355</v>
      </c>
      <c r="I112" s="22" t="s">
        <v>188</v>
      </c>
      <c r="J112" s="22" t="s">
        <v>335</v>
      </c>
      <c r="K112" s="22" t="s">
        <v>317</v>
      </c>
    </row>
    <row r="113" spans="6:11" x14ac:dyDescent="0.25">
      <c r="F113" s="24" t="s">
        <v>10</v>
      </c>
      <c r="G113" s="24" t="s">
        <v>71</v>
      </c>
      <c r="H113" s="24" t="s">
        <v>356</v>
      </c>
      <c r="I113" s="22" t="s">
        <v>189</v>
      </c>
      <c r="J113" s="22" t="s">
        <v>334</v>
      </c>
      <c r="K113" s="22" t="s">
        <v>318</v>
      </c>
    </row>
    <row r="114" spans="6:11" x14ac:dyDescent="0.25">
      <c r="F114" s="24" t="s">
        <v>10</v>
      </c>
      <c r="G114" s="24" t="s">
        <v>71</v>
      </c>
      <c r="H114" s="24" t="s">
        <v>356</v>
      </c>
      <c r="I114" s="22" t="s">
        <v>190</v>
      </c>
      <c r="J114" s="22" t="s">
        <v>334</v>
      </c>
      <c r="K114" s="22" t="s">
        <v>318</v>
      </c>
    </row>
    <row r="115" spans="6:11" x14ac:dyDescent="0.25">
      <c r="F115" s="24" t="s">
        <v>10</v>
      </c>
      <c r="G115" s="24" t="s">
        <v>71</v>
      </c>
      <c r="H115" s="24" t="s">
        <v>356</v>
      </c>
      <c r="I115" s="22" t="s">
        <v>191</v>
      </c>
      <c r="J115" s="22" t="s">
        <v>334</v>
      </c>
      <c r="K115" s="22" t="s">
        <v>318</v>
      </c>
    </row>
    <row r="116" spans="6:11" x14ac:dyDescent="0.25">
      <c r="F116" s="24" t="s">
        <v>10</v>
      </c>
      <c r="G116" s="24" t="s">
        <v>71</v>
      </c>
      <c r="H116" s="24" t="s">
        <v>356</v>
      </c>
      <c r="I116" s="22" t="s">
        <v>192</v>
      </c>
      <c r="J116" s="22" t="s">
        <v>334</v>
      </c>
      <c r="K116" s="22" t="s">
        <v>318</v>
      </c>
    </row>
    <row r="117" spans="6:11" x14ac:dyDescent="0.25">
      <c r="F117" s="24" t="s">
        <v>10</v>
      </c>
      <c r="G117" s="24" t="s">
        <v>71</v>
      </c>
      <c r="H117" s="24" t="s">
        <v>356</v>
      </c>
      <c r="I117" s="22" t="s">
        <v>193</v>
      </c>
      <c r="J117" s="22" t="s">
        <v>334</v>
      </c>
      <c r="K117" s="22" t="s">
        <v>318</v>
      </c>
    </row>
    <row r="118" spans="6:11" x14ac:dyDescent="0.25">
      <c r="F118" s="24" t="s">
        <v>10</v>
      </c>
      <c r="G118" s="24" t="s">
        <v>71</v>
      </c>
      <c r="H118" s="24" t="s">
        <v>357</v>
      </c>
      <c r="I118" s="22" t="s">
        <v>194</v>
      </c>
      <c r="J118" s="22" t="s">
        <v>336</v>
      </c>
      <c r="K118" s="22" t="s">
        <v>283</v>
      </c>
    </row>
    <row r="119" spans="6:11" x14ac:dyDescent="0.25">
      <c r="F119" s="24" t="s">
        <v>10</v>
      </c>
      <c r="G119" s="24" t="s">
        <v>71</v>
      </c>
      <c r="H119" s="24" t="s">
        <v>357</v>
      </c>
      <c r="I119" s="22" t="s">
        <v>195</v>
      </c>
      <c r="J119" s="22" t="s">
        <v>336</v>
      </c>
      <c r="K119" s="22" t="s">
        <v>284</v>
      </c>
    </row>
    <row r="120" spans="6:11" x14ac:dyDescent="0.25">
      <c r="F120" s="24" t="s">
        <v>10</v>
      </c>
      <c r="G120" s="24" t="s">
        <v>71</v>
      </c>
      <c r="H120" s="24" t="s">
        <v>357</v>
      </c>
      <c r="I120" s="22" t="s">
        <v>196</v>
      </c>
      <c r="J120" s="22" t="s">
        <v>336</v>
      </c>
      <c r="K120" s="22" t="s">
        <v>285</v>
      </c>
    </row>
    <row r="121" spans="6:11" x14ac:dyDescent="0.25">
      <c r="F121" s="24" t="s">
        <v>10</v>
      </c>
      <c r="G121" s="24" t="s">
        <v>71</v>
      </c>
      <c r="H121" s="24" t="s">
        <v>357</v>
      </c>
      <c r="I121" s="22" t="s">
        <v>197</v>
      </c>
      <c r="J121" s="22" t="s">
        <v>336</v>
      </c>
      <c r="K121" s="22" t="s">
        <v>286</v>
      </c>
    </row>
    <row r="122" spans="6:11" x14ac:dyDescent="0.25">
      <c r="F122" s="24" t="s">
        <v>10</v>
      </c>
      <c r="G122" s="24" t="s">
        <v>71</v>
      </c>
      <c r="H122" s="24" t="s">
        <v>357</v>
      </c>
      <c r="I122" s="22" t="s">
        <v>198</v>
      </c>
      <c r="J122" s="22" t="s">
        <v>336</v>
      </c>
      <c r="K122" s="22" t="s">
        <v>287</v>
      </c>
    </row>
    <row r="123" spans="6:11" x14ac:dyDescent="0.25">
      <c r="F123" s="24" t="s">
        <v>10</v>
      </c>
      <c r="G123" s="24" t="s">
        <v>71</v>
      </c>
      <c r="H123" s="24" t="s">
        <v>357</v>
      </c>
      <c r="I123" s="22" t="s">
        <v>199</v>
      </c>
      <c r="J123" s="22" t="s">
        <v>336</v>
      </c>
      <c r="K123" s="22" t="s">
        <v>288</v>
      </c>
    </row>
    <row r="124" spans="6:11" x14ac:dyDescent="0.25">
      <c r="F124" s="24" t="s">
        <v>10</v>
      </c>
      <c r="G124" s="24" t="s">
        <v>71</v>
      </c>
      <c r="H124" s="24" t="s">
        <v>357</v>
      </c>
      <c r="I124" s="22" t="s">
        <v>200</v>
      </c>
      <c r="J124" s="22" t="s">
        <v>336</v>
      </c>
      <c r="K124" s="22" t="s">
        <v>289</v>
      </c>
    </row>
    <row r="125" spans="6:11" x14ac:dyDescent="0.25">
      <c r="F125" s="24" t="s">
        <v>10</v>
      </c>
      <c r="G125" s="24" t="s">
        <v>71</v>
      </c>
      <c r="H125" s="24" t="s">
        <v>357</v>
      </c>
      <c r="I125" s="22" t="s">
        <v>201</v>
      </c>
      <c r="J125" s="22" t="s">
        <v>336</v>
      </c>
      <c r="K125" s="22" t="s">
        <v>290</v>
      </c>
    </row>
    <row r="126" spans="6:11" x14ac:dyDescent="0.25">
      <c r="F126" s="24" t="s">
        <v>10</v>
      </c>
      <c r="G126" s="24" t="s">
        <v>71</v>
      </c>
      <c r="H126" s="24" t="s">
        <v>358</v>
      </c>
      <c r="I126" s="22" t="s">
        <v>202</v>
      </c>
      <c r="J126" s="22" t="s">
        <v>335</v>
      </c>
      <c r="K126" s="22" t="s">
        <v>319</v>
      </c>
    </row>
    <row r="127" spans="6:11" x14ac:dyDescent="0.25">
      <c r="F127" s="24" t="s">
        <v>10</v>
      </c>
      <c r="G127" s="24" t="s">
        <v>71</v>
      </c>
      <c r="H127" s="24" t="s">
        <v>358</v>
      </c>
      <c r="I127" s="22" t="s">
        <v>203</v>
      </c>
      <c r="J127" s="22" t="s">
        <v>335</v>
      </c>
      <c r="K127" s="22" t="s">
        <v>319</v>
      </c>
    </row>
    <row r="128" spans="6:11" x14ac:dyDescent="0.25">
      <c r="F128" s="24" t="s">
        <v>10</v>
      </c>
      <c r="G128" s="24" t="s">
        <v>71</v>
      </c>
      <c r="H128" s="24" t="s">
        <v>358</v>
      </c>
      <c r="I128" s="22" t="s">
        <v>204</v>
      </c>
      <c r="J128" s="22" t="s">
        <v>335</v>
      </c>
      <c r="K128" s="22" t="s">
        <v>319</v>
      </c>
    </row>
    <row r="129" spans="6:11" x14ac:dyDescent="0.25">
      <c r="F129" s="24" t="s">
        <v>10</v>
      </c>
      <c r="G129" s="24" t="s">
        <v>71</v>
      </c>
      <c r="H129" s="24" t="s">
        <v>358</v>
      </c>
      <c r="I129" s="22" t="s">
        <v>205</v>
      </c>
      <c r="J129" s="22" t="s">
        <v>335</v>
      </c>
      <c r="K129" s="22" t="s">
        <v>319</v>
      </c>
    </row>
    <row r="130" spans="6:11" x14ac:dyDescent="0.25">
      <c r="F130" s="24" t="s">
        <v>31</v>
      </c>
      <c r="G130" s="24" t="s">
        <v>76</v>
      </c>
      <c r="H130" s="24" t="s">
        <v>359</v>
      </c>
      <c r="I130" s="22" t="s">
        <v>206</v>
      </c>
      <c r="J130" s="22" t="s">
        <v>333</v>
      </c>
      <c r="K130" s="22"/>
    </row>
    <row r="131" spans="6:11" x14ac:dyDescent="0.25">
      <c r="F131" s="24" t="s">
        <v>31</v>
      </c>
      <c r="G131" s="24" t="s">
        <v>76</v>
      </c>
      <c r="H131" s="24" t="s">
        <v>359</v>
      </c>
      <c r="I131" s="22" t="s">
        <v>207</v>
      </c>
      <c r="J131" s="22" t="s">
        <v>333</v>
      </c>
      <c r="K131" s="22"/>
    </row>
    <row r="132" spans="6:11" x14ac:dyDescent="0.25">
      <c r="F132" s="24" t="s">
        <v>17</v>
      </c>
      <c r="G132" s="24" t="s">
        <v>81</v>
      </c>
      <c r="H132" s="24" t="s">
        <v>360</v>
      </c>
      <c r="I132" s="22" t="s">
        <v>208</v>
      </c>
      <c r="J132" s="22" t="s">
        <v>335</v>
      </c>
      <c r="K132" s="22"/>
    </row>
    <row r="133" spans="6:11" x14ac:dyDescent="0.25">
      <c r="F133" s="24" t="s">
        <v>17</v>
      </c>
      <c r="G133" s="24" t="s">
        <v>81</v>
      </c>
      <c r="H133" s="24" t="s">
        <v>360</v>
      </c>
      <c r="I133" s="22" t="s">
        <v>209</v>
      </c>
      <c r="J133" s="22" t="s">
        <v>335</v>
      </c>
      <c r="K133" s="22"/>
    </row>
    <row r="134" spans="6:11" x14ac:dyDescent="0.25">
      <c r="F134" s="24" t="s">
        <v>17</v>
      </c>
      <c r="G134" s="24" t="s">
        <v>81</v>
      </c>
      <c r="H134" s="24" t="s">
        <v>360</v>
      </c>
      <c r="I134" s="22" t="s">
        <v>210</v>
      </c>
      <c r="J134" s="22" t="s">
        <v>335</v>
      </c>
      <c r="K134" s="22"/>
    </row>
    <row r="135" spans="6:11" x14ac:dyDescent="0.25">
      <c r="F135" s="24" t="s">
        <v>19</v>
      </c>
      <c r="G135" s="24" t="s">
        <v>80</v>
      </c>
      <c r="H135" s="24" t="s">
        <v>361</v>
      </c>
      <c r="I135" s="22" t="s">
        <v>211</v>
      </c>
      <c r="J135" s="22" t="s">
        <v>336</v>
      </c>
      <c r="K135" s="22"/>
    </row>
    <row r="136" spans="6:11" x14ac:dyDescent="0.25">
      <c r="F136" s="24" t="s">
        <v>19</v>
      </c>
      <c r="G136" s="24" t="s">
        <v>80</v>
      </c>
      <c r="H136" s="24" t="s">
        <v>361</v>
      </c>
      <c r="I136" s="22" t="s">
        <v>212</v>
      </c>
      <c r="J136" s="22" t="s">
        <v>336</v>
      </c>
      <c r="K136" s="22"/>
    </row>
    <row r="137" spans="6:11" x14ac:dyDescent="0.25">
      <c r="F137" s="24" t="s">
        <v>19</v>
      </c>
      <c r="G137" s="24" t="s">
        <v>80</v>
      </c>
      <c r="H137" s="24" t="s">
        <v>361</v>
      </c>
      <c r="I137" s="22" t="s">
        <v>213</v>
      </c>
      <c r="J137" s="22" t="s">
        <v>336</v>
      </c>
      <c r="K137" s="22"/>
    </row>
    <row r="138" spans="6:11" x14ac:dyDescent="0.25">
      <c r="F138" s="24" t="s">
        <v>19</v>
      </c>
      <c r="G138" s="24" t="s">
        <v>80</v>
      </c>
      <c r="H138" s="24" t="s">
        <v>361</v>
      </c>
      <c r="I138" s="22" t="s">
        <v>214</v>
      </c>
      <c r="J138" s="22" t="s">
        <v>336</v>
      </c>
      <c r="K138" s="22"/>
    </row>
    <row r="139" spans="6:11" x14ac:dyDescent="0.25">
      <c r="F139" s="24" t="s">
        <v>17</v>
      </c>
      <c r="G139" s="24" t="s">
        <v>81</v>
      </c>
      <c r="H139" s="24" t="s">
        <v>362</v>
      </c>
      <c r="I139" s="22" t="s">
        <v>215</v>
      </c>
      <c r="J139" s="22" t="s">
        <v>335</v>
      </c>
      <c r="K139" s="22"/>
    </row>
    <row r="140" spans="6:11" x14ac:dyDescent="0.25">
      <c r="F140" s="24" t="s">
        <v>17</v>
      </c>
      <c r="G140" s="24" t="s">
        <v>81</v>
      </c>
      <c r="H140" s="24" t="s">
        <v>362</v>
      </c>
      <c r="I140" s="22" t="s">
        <v>216</v>
      </c>
      <c r="J140" s="22" t="s">
        <v>335</v>
      </c>
      <c r="K140" s="22"/>
    </row>
    <row r="141" spans="6:11" x14ac:dyDescent="0.25">
      <c r="F141" s="24" t="s">
        <v>17</v>
      </c>
      <c r="G141" s="24" t="s">
        <v>81</v>
      </c>
      <c r="H141" s="24" t="s">
        <v>362</v>
      </c>
      <c r="I141" s="22" t="s">
        <v>217</v>
      </c>
      <c r="J141" s="22" t="s">
        <v>335</v>
      </c>
      <c r="K141" s="22"/>
    </row>
    <row r="142" spans="6:11" x14ac:dyDescent="0.25">
      <c r="F142" s="24" t="s">
        <v>31</v>
      </c>
      <c r="G142" s="24" t="s">
        <v>76</v>
      </c>
      <c r="H142" s="24" t="s">
        <v>363</v>
      </c>
      <c r="I142" s="22" t="s">
        <v>218</v>
      </c>
      <c r="J142" s="22" t="s">
        <v>335</v>
      </c>
      <c r="K142" s="22"/>
    </row>
    <row r="143" spans="6:11" x14ac:dyDescent="0.25">
      <c r="F143" s="24" t="s">
        <v>31</v>
      </c>
      <c r="G143" s="24" t="s">
        <v>76</v>
      </c>
      <c r="H143" s="24" t="s">
        <v>363</v>
      </c>
      <c r="I143" s="22" t="s">
        <v>219</v>
      </c>
      <c r="J143" s="22" t="s">
        <v>335</v>
      </c>
      <c r="K143" s="22"/>
    </row>
    <row r="144" spans="6:11" x14ac:dyDescent="0.25">
      <c r="F144" s="24" t="s">
        <v>31</v>
      </c>
      <c r="G144" s="24" t="s">
        <v>76</v>
      </c>
      <c r="H144" s="24" t="s">
        <v>363</v>
      </c>
      <c r="I144" s="22" t="s">
        <v>220</v>
      </c>
      <c r="J144" s="22" t="s">
        <v>335</v>
      </c>
      <c r="K144" s="22"/>
    </row>
    <row r="145" spans="6:11" x14ac:dyDescent="0.25">
      <c r="F145" s="24" t="s">
        <v>17</v>
      </c>
      <c r="G145" s="24" t="s">
        <v>81</v>
      </c>
      <c r="H145" s="24" t="s">
        <v>364</v>
      </c>
      <c r="I145" s="22" t="s">
        <v>292</v>
      </c>
      <c r="J145" s="22" t="s">
        <v>333</v>
      </c>
      <c r="K145" s="22"/>
    </row>
    <row r="146" spans="6:11" x14ac:dyDescent="0.25">
      <c r="F146" s="24" t="s">
        <v>17</v>
      </c>
      <c r="G146" s="24" t="s">
        <v>81</v>
      </c>
      <c r="H146" s="24" t="s">
        <v>364</v>
      </c>
      <c r="I146" s="22" t="s">
        <v>293</v>
      </c>
      <c r="J146" s="22" t="s">
        <v>333</v>
      </c>
      <c r="K146" s="22"/>
    </row>
    <row r="147" spans="6:11" x14ac:dyDescent="0.25">
      <c r="F147" s="24" t="s">
        <v>10</v>
      </c>
      <c r="G147" s="24" t="s">
        <v>71</v>
      </c>
      <c r="H147" s="24" t="s">
        <v>365</v>
      </c>
      <c r="I147" s="22" t="s">
        <v>294</v>
      </c>
      <c r="J147" s="22" t="s">
        <v>333</v>
      </c>
      <c r="K147" s="22" t="s">
        <v>295</v>
      </c>
    </row>
    <row r="148" spans="6:11" x14ac:dyDescent="0.25">
      <c r="F148" s="24" t="s">
        <v>10</v>
      </c>
      <c r="G148" s="24" t="s">
        <v>71</v>
      </c>
      <c r="H148" s="24" t="s">
        <v>365</v>
      </c>
      <c r="I148" s="22" t="s">
        <v>296</v>
      </c>
      <c r="J148" s="22" t="s">
        <v>333</v>
      </c>
      <c r="K148" s="22" t="s">
        <v>297</v>
      </c>
    </row>
    <row r="149" spans="6:11" x14ac:dyDescent="0.25">
      <c r="F149" s="24" t="s">
        <v>31</v>
      </c>
      <c r="G149" s="24" t="s">
        <v>76</v>
      </c>
      <c r="H149" s="24" t="s">
        <v>366</v>
      </c>
      <c r="I149" s="22" t="s">
        <v>298</v>
      </c>
      <c r="J149" s="22" t="s">
        <v>333</v>
      </c>
      <c r="K149" s="22"/>
    </row>
    <row r="150" spans="6:11" x14ac:dyDescent="0.25">
      <c r="F150" s="24" t="s">
        <v>31</v>
      </c>
      <c r="G150" s="24" t="s">
        <v>76</v>
      </c>
      <c r="H150" s="24" t="s">
        <v>366</v>
      </c>
      <c r="I150" s="22" t="s">
        <v>299</v>
      </c>
      <c r="J150" s="22" t="s">
        <v>333</v>
      </c>
      <c r="K150" s="22"/>
    </row>
    <row r="151" spans="6:11" x14ac:dyDescent="0.25">
      <c r="F151" s="24" t="s">
        <v>31</v>
      </c>
      <c r="G151" s="24" t="s">
        <v>76</v>
      </c>
      <c r="H151" s="24" t="s">
        <v>367</v>
      </c>
      <c r="I151" s="22" t="s">
        <v>300</v>
      </c>
      <c r="J151" s="22" t="s">
        <v>333</v>
      </c>
      <c r="K151" s="22"/>
    </row>
    <row r="152" spans="6:11" x14ac:dyDescent="0.25">
      <c r="F152" s="24" t="s">
        <v>31</v>
      </c>
      <c r="G152" s="24" t="s">
        <v>76</v>
      </c>
      <c r="H152" s="24" t="s">
        <v>367</v>
      </c>
      <c r="I152" s="22" t="s">
        <v>301</v>
      </c>
      <c r="J152" s="22" t="s">
        <v>333</v>
      </c>
      <c r="K152" s="22"/>
    </row>
    <row r="153" spans="6:11" x14ac:dyDescent="0.25">
      <c r="F153" s="24" t="s">
        <v>31</v>
      </c>
      <c r="G153" s="24" t="s">
        <v>76</v>
      </c>
      <c r="H153" s="24" t="s">
        <v>368</v>
      </c>
      <c r="I153" s="22" t="s">
        <v>302</v>
      </c>
      <c r="J153" s="22" t="s">
        <v>333</v>
      </c>
      <c r="K153" s="22"/>
    </row>
    <row r="154" spans="6:11" x14ac:dyDescent="0.25">
      <c r="F154" s="24" t="s">
        <v>31</v>
      </c>
      <c r="G154" s="24" t="s">
        <v>76</v>
      </c>
      <c r="H154" s="24" t="s">
        <v>368</v>
      </c>
      <c r="I154" s="22" t="s">
        <v>303</v>
      </c>
      <c r="J154" s="22" t="s">
        <v>335</v>
      </c>
      <c r="K154" s="22"/>
    </row>
    <row r="155" spans="6:11" x14ac:dyDescent="0.25">
      <c r="F155" s="24" t="s">
        <v>10</v>
      </c>
      <c r="G155" s="24" t="s">
        <v>71</v>
      </c>
      <c r="H155" s="24" t="s">
        <v>369</v>
      </c>
      <c r="I155" s="22" t="s">
        <v>304</v>
      </c>
      <c r="J155" s="22" t="s">
        <v>335</v>
      </c>
      <c r="K155" s="22" t="s">
        <v>297</v>
      </c>
    </row>
    <row r="156" spans="6:11" x14ac:dyDescent="0.25">
      <c r="F156" s="24" t="s">
        <v>10</v>
      </c>
      <c r="G156" s="24" t="s">
        <v>71</v>
      </c>
      <c r="H156" s="24" t="s">
        <v>369</v>
      </c>
      <c r="I156" s="22" t="s">
        <v>305</v>
      </c>
      <c r="J156" s="22" t="s">
        <v>335</v>
      </c>
      <c r="K156" s="22" t="s">
        <v>295</v>
      </c>
    </row>
    <row r="157" spans="6:11" x14ac:dyDescent="0.25">
      <c r="F157" s="24" t="s">
        <v>10</v>
      </c>
      <c r="G157" s="24" t="s">
        <v>71</v>
      </c>
      <c r="H157" s="24" t="s">
        <v>369</v>
      </c>
      <c r="I157" s="22" t="s">
        <v>306</v>
      </c>
      <c r="J157" s="22" t="s">
        <v>335</v>
      </c>
      <c r="K157" s="22" t="s">
        <v>307</v>
      </c>
    </row>
    <row r="158" spans="6:11" x14ac:dyDescent="0.25">
      <c r="F158" s="24" t="s">
        <v>31</v>
      </c>
      <c r="G158" s="24" t="s">
        <v>76</v>
      </c>
      <c r="H158" s="24" t="s">
        <v>370</v>
      </c>
      <c r="I158" s="22" t="s">
        <v>308</v>
      </c>
      <c r="J158" s="22" t="s">
        <v>335</v>
      </c>
      <c r="K158" s="22"/>
    </row>
    <row r="159" spans="6:11" x14ac:dyDescent="0.25">
      <c r="F159" s="24" t="s">
        <v>31</v>
      </c>
      <c r="G159" s="24" t="s">
        <v>76</v>
      </c>
      <c r="H159" s="24" t="s">
        <v>370</v>
      </c>
      <c r="I159" s="22" t="s">
        <v>309</v>
      </c>
      <c r="J159" s="22" t="s">
        <v>335</v>
      </c>
      <c r="K159" s="22"/>
    </row>
    <row r="160" spans="6:11" x14ac:dyDescent="0.25">
      <c r="F160" s="24" t="s">
        <v>17</v>
      </c>
      <c r="G160" s="24" t="s">
        <v>81</v>
      </c>
      <c r="H160" s="24" t="s">
        <v>371</v>
      </c>
      <c r="I160" s="22" t="s">
        <v>310</v>
      </c>
      <c r="J160" s="22" t="s">
        <v>335</v>
      </c>
      <c r="K160" s="22"/>
    </row>
    <row r="161" spans="6:11" x14ac:dyDescent="0.25">
      <c r="F161" s="24" t="s">
        <v>17</v>
      </c>
      <c r="G161" s="24" t="s">
        <v>81</v>
      </c>
      <c r="H161" s="24" t="s">
        <v>371</v>
      </c>
      <c r="I161" s="22" t="s">
        <v>311</v>
      </c>
      <c r="J161" s="22" t="s">
        <v>335</v>
      </c>
      <c r="K161" s="22"/>
    </row>
    <row r="162" spans="6:11" x14ac:dyDescent="0.25">
      <c r="F162" s="24" t="s">
        <v>31</v>
      </c>
      <c r="G162" s="24" t="s">
        <v>76</v>
      </c>
      <c r="H162" s="24" t="s">
        <v>372</v>
      </c>
      <c r="I162" s="22" t="s">
        <v>236</v>
      </c>
      <c r="J162" s="22" t="s">
        <v>335</v>
      </c>
      <c r="K162" s="22"/>
    </row>
    <row r="163" spans="6:11" x14ac:dyDescent="0.25">
      <c r="F163" s="24" t="s">
        <v>31</v>
      </c>
      <c r="G163" s="24" t="s">
        <v>76</v>
      </c>
      <c r="H163" s="24" t="s">
        <v>372</v>
      </c>
      <c r="I163" s="22" t="s">
        <v>238</v>
      </c>
      <c r="J163" s="22" t="s">
        <v>335</v>
      </c>
      <c r="K163" s="22"/>
    </row>
    <row r="164" spans="6:11" x14ac:dyDescent="0.25">
      <c r="F164" s="24" t="s">
        <v>31</v>
      </c>
      <c r="G164" s="24" t="s">
        <v>76</v>
      </c>
      <c r="H164" s="24" t="s">
        <v>372</v>
      </c>
      <c r="I164" s="22" t="s">
        <v>237</v>
      </c>
      <c r="J164" s="22" t="s">
        <v>335</v>
      </c>
      <c r="K164" s="22"/>
    </row>
    <row r="165" spans="6:11" x14ac:dyDescent="0.25">
      <c r="F165" s="24" t="s">
        <v>22</v>
      </c>
      <c r="G165" s="24" t="s">
        <v>78</v>
      </c>
      <c r="H165" s="24"/>
      <c r="I165" s="24"/>
      <c r="J165" s="24"/>
      <c r="K165" s="24"/>
    </row>
    <row r="166" spans="6:11" x14ac:dyDescent="0.25">
      <c r="F166" s="22" t="s">
        <v>15</v>
      </c>
      <c r="G166" s="24" t="s">
        <v>70</v>
      </c>
      <c r="H166" s="24"/>
      <c r="I166" s="22"/>
      <c r="J166" s="22"/>
      <c r="K166" s="22"/>
    </row>
    <row r="167" spans="6:11" x14ac:dyDescent="0.25">
      <c r="F167" s="22" t="s">
        <v>12</v>
      </c>
      <c r="G167" s="24" t="s">
        <v>72</v>
      </c>
      <c r="H167" s="24"/>
      <c r="I167" s="22"/>
      <c r="J167" s="22"/>
      <c r="K167" s="22"/>
    </row>
    <row r="168" spans="6:11" x14ac:dyDescent="0.25">
      <c r="F168" s="24" t="s">
        <v>20</v>
      </c>
      <c r="G168" s="24" t="s">
        <v>79</v>
      </c>
      <c r="H168" s="24"/>
      <c r="I168" s="24"/>
      <c r="J168" s="24"/>
      <c r="K168" s="24"/>
    </row>
    <row r="169" spans="6:11" x14ac:dyDescent="0.25">
      <c r="F169" s="24" t="s">
        <v>13</v>
      </c>
      <c r="G169" s="24" t="s">
        <v>73</v>
      </c>
      <c r="H169" s="24"/>
      <c r="I169" s="24"/>
      <c r="J169" s="24"/>
      <c r="K169" s="24"/>
    </row>
    <row r="170" spans="6:11" x14ac:dyDescent="0.25">
      <c r="F170" s="22" t="s">
        <v>11</v>
      </c>
      <c r="G170" s="24" t="s">
        <v>11</v>
      </c>
      <c r="H170" s="24"/>
      <c r="I170" s="24"/>
      <c r="J170" s="24"/>
      <c r="K170" s="24"/>
    </row>
  </sheetData>
  <phoneticPr fontId="6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986CA3F-7692-45FC-9BE4-E62D16BD75D1}">
          <x14:formula1>
            <xm:f>Listes!$G$1:$G$7</xm:f>
          </x14:formula1>
          <xm:sqref>J2:J170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F6601E0A0FF4881C65455F71C0143" ma:contentTypeVersion="3" ma:contentTypeDescription="Crée un document." ma:contentTypeScope="" ma:versionID="19d2cde046e3b59264b4d17a53b9762a">
  <xsd:schema xmlns:xsd="http://www.w3.org/2001/XMLSchema" xmlns:xs="http://www.w3.org/2001/XMLSchema" xmlns:p="http://schemas.microsoft.com/office/2006/metadata/properties" xmlns:ns2="c2c2198c-f365-4f97-8d94-c3c737dfbff1" targetNamespace="http://schemas.microsoft.com/office/2006/metadata/properties" ma:root="true" ma:fieldsID="92157d2524946f903b556080af7fdb0e" ns2:_="">
    <xsd:import namespace="c2c2198c-f365-4f97-8d94-c3c737dfbf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2198c-f365-4f97-8d94-c3c737dfbf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939BBC-320D-4212-8B0F-181E7F4B92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c2198c-f365-4f97-8d94-c3c737dfbf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B44744-44B2-4C57-AD9C-BAC44DBFEA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AC75AF-005E-44DF-9A5A-FF17CE0E4ACE}">
  <ds:schemaRefs>
    <ds:schemaRef ds:uri="c2c2198c-f365-4f97-8d94-c3c737dfbff1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Feuille de saisie</vt:lpstr>
      <vt:lpstr>Protection</vt:lpstr>
      <vt:lpstr>Règles</vt:lpstr>
      <vt:lpstr>Listes</vt:lpstr>
      <vt:lpstr>Domaines-Blocs de compétences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Philippe VIRY</dc:creator>
  <cp:keywords/>
  <dc:description/>
  <cp:lastModifiedBy>Stéphane JAUBERT</cp:lastModifiedBy>
  <cp:revision/>
  <dcterms:created xsi:type="dcterms:W3CDTF">2015-06-05T18:19:34Z</dcterms:created>
  <dcterms:modified xsi:type="dcterms:W3CDTF">2026-10-24T06:19:09Z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0x010100625F6601E0A0FF4881C65455F71C0143</vt:lpwstr>
  </property>
</Properties>
</file>