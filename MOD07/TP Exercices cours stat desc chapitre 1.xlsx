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0 BTS progression/MOD07/"/>
    </mc:Choice>
  </mc:AlternateContent>
  <xr:revisionPtr revIDLastSave="14" documentId="8_{92756A81-CD15-40AB-B131-EF758899DE35}" xr6:coauthVersionLast="47" xr6:coauthVersionMax="47" xr10:uidLastSave="{3A47B45C-87B0-44FE-96B4-7AB3346CB88A}"/>
  <bookViews>
    <workbookView xWindow="-120" yWindow="-120" windowWidth="29040" windowHeight="15840" xr2:uid="{8CF57A4F-B07E-436D-B322-388758AF0BFF}"/>
  </bookViews>
  <sheets>
    <sheet name="EX3" sheetId="1" r:id="rId1"/>
    <sheet name="EX4" sheetId="3" r:id="rId2"/>
    <sheet name="EX5-EX9" sheetId="2" r:id="rId3"/>
    <sheet name="EX6-EX10" sheetId="4" r:id="rId4"/>
    <sheet name="EX7" sheetId="5" r:id="rId5"/>
    <sheet name="EX8" sheetId="6" r:id="rId6"/>
    <sheet name="EX12" sheetId="7" r:id="rId7"/>
    <sheet name="EX13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14" i="1"/>
  <c r="D12" i="8"/>
  <c r="B11" i="8"/>
  <c r="B10" i="8"/>
  <c r="B9" i="8"/>
  <c r="E15" i="4"/>
  <c r="C14" i="4"/>
  <c r="C13" i="4"/>
  <c r="C12" i="4"/>
  <c r="C11" i="4"/>
  <c r="C10" i="4"/>
  <c r="C9" i="4"/>
  <c r="C10" i="2"/>
  <c r="E10" i="2" s="1"/>
  <c r="E9" i="2"/>
  <c r="C9" i="2"/>
  <c r="C8" i="2"/>
  <c r="E8" i="2" s="1"/>
  <c r="C7" i="2"/>
  <c r="E7" i="2" s="1"/>
  <c r="E6" i="2"/>
</calcChain>
</file>

<file path=xl/sharedStrings.xml><?xml version="1.0" encoding="utf-8"?>
<sst xmlns="http://schemas.openxmlformats.org/spreadsheetml/2006/main" count="48" uniqueCount="47">
  <si>
    <t>CSP</t>
  </si>
  <si>
    <t>Littoral</t>
  </si>
  <si>
    <t>Région</t>
  </si>
  <si>
    <t>Agriculteurs</t>
  </si>
  <si>
    <t>Artisans</t>
  </si>
  <si>
    <t>Prof. Libérales</t>
  </si>
  <si>
    <t>Prof. Int.</t>
  </si>
  <si>
    <t>Employés</t>
  </si>
  <si>
    <t>Ouvriers</t>
  </si>
  <si>
    <t>xi</t>
  </si>
  <si>
    <t>Lettres</t>
  </si>
  <si>
    <t>Langues</t>
  </si>
  <si>
    <t>Sciences H</t>
  </si>
  <si>
    <t>Science NV</t>
  </si>
  <si>
    <t>Science SM</t>
  </si>
  <si>
    <t>Sciences Tech</t>
  </si>
  <si>
    <t>Sport</t>
  </si>
  <si>
    <t>Droit</t>
  </si>
  <si>
    <t>Sciences Eco</t>
  </si>
  <si>
    <t>SESA</t>
  </si>
  <si>
    <t>Littoral 1998/1999 par secteurs disciplinaires :</t>
  </si>
  <si>
    <t>On donne dans le tableau ci-dessous la répartition des étudiants inscrits à l’Université du</t>
  </si>
  <si>
    <t>Faire le diagramme à secteurs représentant cette distribution.</t>
  </si>
  <si>
    <t>Autres*</t>
  </si>
  <si>
    <t>Salaire annuel</t>
  </si>
  <si>
    <t>ni</t>
  </si>
  <si>
    <t>Candidate</t>
  </si>
  <si>
    <t>Nombre d'erreurs</t>
  </si>
  <si>
    <t>Nombre d'enfants</t>
  </si>
  <si>
    <t>Nombre de familles</t>
  </si>
  <si>
    <t>Notes xi</t>
  </si>
  <si>
    <t>Effectifs ni</t>
  </si>
  <si>
    <t>Salaire en €</t>
  </si>
  <si>
    <t>Centre xi</t>
  </si>
  <si>
    <t>Fréquence %</t>
  </si>
  <si>
    <t>ECC</t>
  </si>
  <si>
    <t>FCC</t>
  </si>
  <si>
    <t>1. Calculer Moyenne et écart-type des salaires</t>
  </si>
  <si>
    <t>2. Combien d'employés ont un salaire &lt; à 1300€ ?</t>
  </si>
  <si>
    <t>3. Histogramme des effectifs</t>
  </si>
  <si>
    <t>1°) quelle est la variable étudiée ? Quel est son type ?</t>
  </si>
  <si>
    <t>3°) Calculer la moyenne de la superficie de ces 70 exploitations, puis la variance, l'écart-type, la médiane, les quartiles…</t>
  </si>
  <si>
    <t>2°) donner une représentation graphique de cette distribution (Histogramme, polygone des fréquances cumulées…)</t>
  </si>
  <si>
    <t>Superficie (ha)</t>
  </si>
  <si>
    <t>4°) Quel est le pourcentage des exploitations ayant une surface comprise entre 30ha et  50ha ?</t>
  </si>
  <si>
    <t>5°) A partir de quelle superficie un exploitant fait-il partie des 5% plus grandes exploitations ?</t>
  </si>
  <si>
    <t>6°) Quelle est la proportion d'exploitations agricoles dont la superficie est inférieure à 45ha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</si>
</sst>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/>
    <xf numFmtId="0" fontId="0" fillId="0" borderId="0" xfId="0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4" xfId="0" applyFill="1" applyBorder="1"/>
    <xf numFmtId="0" fontId="2" fillId="3" borderId="7" xfId="0" applyFont="1" applyFill="1" applyBorder="1"/>
    <xf numFmtId="0" fontId="2" fillId="3" borderId="3" xfId="0" applyFont="1" applyFill="1" applyBorder="1"/>
    <xf numFmtId="0" fontId="2" fillId="3" borderId="8" xfId="0" applyFont="1" applyFill="1" applyBorder="1"/>
    <xf numFmtId="0" fontId="0" fillId="4" borderId="7" xfId="0" applyFill="1" applyBorder="1"/>
    <xf numFmtId="0" fontId="0" fillId="0" borderId="7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4" borderId="3" xfId="1" applyFont="1" applyFill="1" applyBorder="1"/>
    <xf numFmtId="9" fontId="0" fillId="4" borderId="8" xfId="1" applyFont="1" applyFill="1" applyBorder="1"/>
    <xf numFmtId="9" fontId="0" fillId="0" borderId="3" xfId="1" applyFont="1" applyBorder="1"/>
    <xf numFmtId="9" fontId="0" fillId="0" borderId="8" xfId="1" applyFont="1" applyBorder="1"/>
    <xf numFmtId="9" fontId="0" fillId="4" borderId="5" xfId="1" applyFont="1" applyFill="1" applyBorder="1"/>
    <xf numFmtId="9" fontId="0" fillId="4" borderId="6" xfId="1" applyFont="1" applyFill="1" applyBorder="1"/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223630</xdr:colOff>
      <xdr:row>1</xdr:row>
      <xdr:rowOff>99390</xdr:rowOff>
    </xdr:from>
    <xdr:to>
      <xdr:col>5</xdr:col>
      <xdr:colOff>596762</xdr:colOff>
      <xdr:row>3</xdr:row>
      <xdr:rowOff>89865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0C25DA3-FBF6-04F7-E372-0EB5DBB73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630" y="289890"/>
          <a:ext cx="55911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737152</xdr:colOff>
      <xdr:row>15</xdr:row>
      <xdr:rowOff>115957</xdr:rowOff>
    </xdr:from>
    <xdr:to>
      <xdr:col>4</xdr:col>
      <xdr:colOff>47211</xdr:colOff>
      <xdr:row>20</xdr:row>
      <xdr:rowOff>106432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DCD8B37-C895-4452-2AE6-0C1FE4359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152" y="2973457"/>
          <a:ext cx="3766102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</xdr:row>
      <xdr:rowOff>85725</xdr:rowOff>
    </xdr:from>
    <xdr:to>
      <xdr:col>7</xdr:col>
      <xdr:colOff>715155</xdr:colOff>
      <xdr:row>3</xdr:row>
      <xdr:rowOff>85778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64BC4B8-544A-F770-A6AD-164F3ED8A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276225"/>
          <a:ext cx="5591955" cy="3810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5</xdr:col>
      <xdr:colOff>9952</xdr:colOff>
      <xdr:row>13</xdr:row>
      <xdr:rowOff>104843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E909A84-8D3B-96D3-F530-6D61EBFF2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095500"/>
          <a:ext cx="3057952" cy="485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</xdr:row>
      <xdr:rowOff>19050</xdr:rowOff>
    </xdr:from>
    <xdr:to>
      <xdr:col>7</xdr:col>
      <xdr:colOff>734213</xdr:colOff>
      <xdr:row>4</xdr:row>
      <xdr:rowOff>57235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AB1395D-3B9C-D521-9BAD-F082D8531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209550"/>
          <a:ext cx="5649113" cy="6096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8</xdr:col>
      <xdr:colOff>191271</xdr:colOff>
      <xdr:row>18</xdr:row>
      <xdr:rowOff>171527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2253C79-3E3A-1D0D-FF6B-9519B403B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3048000"/>
          <a:ext cx="5525271" cy="5525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8</xdr:col>
      <xdr:colOff>219850</xdr:colOff>
      <xdr:row>31</xdr:row>
      <xdr:rowOff>28632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B96A04E-AFA1-9375-8B15-A71603BB2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5524500"/>
          <a:ext cx="5553850" cy="4096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381792</xdr:colOff>
      <xdr:row>4</xdr:row>
      <xdr:rowOff>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DBD383D-7852-434F-A024-31BED61F8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5677692" cy="5715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10</xdr:col>
      <xdr:colOff>372160</xdr:colOff>
      <xdr:row>12</xdr:row>
      <xdr:rowOff>114396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6B64764-F557-13DF-E338-9D12C1AD7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1714500"/>
          <a:ext cx="4906060" cy="6858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86504</xdr:colOff>
      <xdr:row>3</xdr:row>
      <xdr:rowOff>53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56773A2-DC76-BC43-3CE9-4AF611296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5582429" cy="3810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5</xdr:col>
      <xdr:colOff>448292</xdr:colOff>
      <xdr:row>19</xdr:row>
      <xdr:rowOff>57291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E74566D-B07D-633C-AE96-0DD941D3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667000"/>
          <a:ext cx="4420217" cy="10097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362745</xdr:colOff>
      <xdr:row>3</xdr:row>
      <xdr:rowOff>19106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8812036-ED84-8570-1553-EA3A340C9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5696745" cy="400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10</xdr:col>
      <xdr:colOff>286322</xdr:colOff>
      <xdr:row>15</xdr:row>
      <xdr:rowOff>66817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0EA1D38-F2ED-3470-558F-40E24EC4C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1905000"/>
          <a:ext cx="4096322" cy="10193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162708</xdr:colOff>
      <xdr:row>4</xdr:row>
      <xdr:rowOff>19106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7464445-F29E-8F9D-352B-C82B1C1E3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81000"/>
          <a:ext cx="5611008" cy="400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4B86-BC68-4741-A740-5ABF9109BBE4}">
  <dimension ref="B6:D14"/>
  <sheetViews>
    <sheetView tabSelected="1" zoomScale="115" zoomScaleNormal="115" workbookViewId="0">
      <selection activeCell="F15" sqref="F15"/>
    </sheetView>
  </sheetViews>
  <sheetFormatPr baseColWidth="10" defaultRowHeight="15" x14ac:dyDescent="0.25"/>
  <cols>
    <col min="2" max="2" width="21" bestFit="1" customWidth="1"/>
    <col min="3" max="3" width="17.28515625" bestFit="1" customWidth="1"/>
    <col min="4" max="4" width="17.140625" bestFit="1" customWidth="1"/>
  </cols>
  <sheetData>
    <row r="6" spans="2:4" x14ac:dyDescent="0.25">
      <c r="B6" s="9" t="s">
        <v>0</v>
      </c>
      <c r="C6" s="10" t="s">
        <v>1</v>
      </c>
      <c r="D6" s="11" t="s">
        <v>2</v>
      </c>
    </row>
    <row r="7" spans="2:4" x14ac:dyDescent="0.25">
      <c r="B7" s="12" t="s">
        <v>3</v>
      </c>
      <c r="C7" s="16">
        <v>3.2000000000000001E-2</v>
      </c>
      <c r="D7" s="17">
        <v>0.02</v>
      </c>
    </row>
    <row r="8" spans="2:4" x14ac:dyDescent="0.25">
      <c r="B8" s="13" t="s">
        <v>4</v>
      </c>
      <c r="C8" s="18">
        <v>5.7000000000000002E-2</v>
      </c>
      <c r="D8" s="19">
        <v>5.2999999999999999E-2</v>
      </c>
    </row>
    <row r="9" spans="2:4" x14ac:dyDescent="0.25">
      <c r="B9" s="12" t="s">
        <v>5</v>
      </c>
      <c r="C9" s="16">
        <v>5.6000000000000001E-2</v>
      </c>
      <c r="D9" s="17">
        <v>5.6000000000000001E-2</v>
      </c>
    </row>
    <row r="10" spans="2:4" x14ac:dyDescent="0.25">
      <c r="B10" s="13" t="s">
        <v>6</v>
      </c>
      <c r="C10" s="18">
        <v>0.13800000000000001</v>
      </c>
      <c r="D10" s="19">
        <v>0.14399999999999999</v>
      </c>
    </row>
    <row r="11" spans="2:4" x14ac:dyDescent="0.25">
      <c r="B11" s="12" t="s">
        <v>7</v>
      </c>
      <c r="C11" s="16">
        <v>0.17699999999999999</v>
      </c>
      <c r="D11" s="17">
        <v>0.17799999999999999</v>
      </c>
    </row>
    <row r="12" spans="2:4" x14ac:dyDescent="0.25">
      <c r="B12" s="13" t="s">
        <v>8</v>
      </c>
      <c r="C12" s="18">
        <v>0.26100000000000001</v>
      </c>
      <c r="D12" s="19">
        <v>0.27</v>
      </c>
    </row>
    <row r="13" spans="2:4" x14ac:dyDescent="0.25">
      <c r="B13" s="8" t="s">
        <v>23</v>
      </c>
      <c r="C13" s="20">
        <v>0.27900000000000003</v>
      </c>
      <c r="D13" s="21">
        <v>0.26600000000000001</v>
      </c>
    </row>
    <row r="14" spans="2:4" x14ac:dyDescent="0.25">
      <c r="C14" s="22">
        <f>SUM(C7:C13)</f>
        <v>1</v>
      </c>
      <c r="D14" s="22">
        <f>SUM(D7:D13)</f>
        <v>0.9870000000000001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3AA8-A5A8-469E-8CA6-193D75917899}">
  <dimension ref="B2:D16"/>
  <sheetViews>
    <sheetView workbookViewId="0">
      <selection activeCell="M29" sqref="M29"/>
    </sheetView>
  </sheetViews>
  <sheetFormatPr baseColWidth="10" defaultRowHeight="15" x14ac:dyDescent="0.25"/>
  <cols>
    <col min="3" max="3" width="14.140625" customWidth="1"/>
  </cols>
  <sheetData>
    <row r="2" spans="2:4" x14ac:dyDescent="0.25">
      <c r="B2" t="s">
        <v>21</v>
      </c>
    </row>
    <row r="3" spans="2:4" x14ac:dyDescent="0.25">
      <c r="B3" t="s">
        <v>20</v>
      </c>
    </row>
    <row r="4" spans="2:4" x14ac:dyDescent="0.25">
      <c r="C4" s="1" t="s">
        <v>10</v>
      </c>
      <c r="D4" s="4">
        <v>0.05</v>
      </c>
    </row>
    <row r="5" spans="2:4" x14ac:dyDescent="0.25">
      <c r="C5" s="1" t="s">
        <v>11</v>
      </c>
      <c r="D5" s="4">
        <v>0.13</v>
      </c>
    </row>
    <row r="6" spans="2:4" x14ac:dyDescent="0.25">
      <c r="C6" s="1" t="s">
        <v>12</v>
      </c>
      <c r="D6" s="4">
        <v>0.1</v>
      </c>
    </row>
    <row r="7" spans="2:4" x14ac:dyDescent="0.25">
      <c r="C7" s="1" t="s">
        <v>13</v>
      </c>
      <c r="D7" s="4">
        <v>7.0000000000000007E-2</v>
      </c>
    </row>
    <row r="8" spans="2:4" x14ac:dyDescent="0.25">
      <c r="C8" s="1" t="s">
        <v>14</v>
      </c>
      <c r="D8" s="4">
        <v>0.13</v>
      </c>
    </row>
    <row r="9" spans="2:4" x14ac:dyDescent="0.25">
      <c r="C9" s="1" t="s">
        <v>15</v>
      </c>
      <c r="D9" s="4">
        <v>0.08</v>
      </c>
    </row>
    <row r="10" spans="2:4" x14ac:dyDescent="0.25">
      <c r="C10" s="1" t="s">
        <v>16</v>
      </c>
      <c r="D10" s="4">
        <v>0.06</v>
      </c>
    </row>
    <row r="11" spans="2:4" x14ac:dyDescent="0.25">
      <c r="C11" s="1" t="s">
        <v>17</v>
      </c>
      <c r="D11" s="4">
        <v>0.11</v>
      </c>
    </row>
    <row r="12" spans="2:4" x14ac:dyDescent="0.25">
      <c r="C12" s="1" t="s">
        <v>18</v>
      </c>
      <c r="D12" s="4">
        <v>0.1</v>
      </c>
    </row>
    <row r="13" spans="2:4" x14ac:dyDescent="0.25">
      <c r="C13" s="1" t="s">
        <v>19</v>
      </c>
      <c r="D13" s="4">
        <v>0.17</v>
      </c>
    </row>
    <row r="16" spans="2:4" x14ac:dyDescent="0.25">
      <c r="B1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39C3-6A0D-4655-9838-49172580B638}">
  <dimension ref="C5:G21"/>
  <sheetViews>
    <sheetView workbookViewId="0">
      <selection activeCell="F29" sqref="F29"/>
    </sheetView>
  </sheetViews>
  <sheetFormatPr baseColWidth="10" defaultRowHeight="15" x14ac:dyDescent="0.25"/>
  <sheetData>
    <row r="5" spans="3:7" x14ac:dyDescent="0.25">
      <c r="C5" s="14" t="s">
        <v>43</v>
      </c>
      <c r="D5" s="14"/>
      <c r="E5" s="2" t="s">
        <v>9</v>
      </c>
      <c r="G5" t="s">
        <v>40</v>
      </c>
    </row>
    <row r="6" spans="3:7" x14ac:dyDescent="0.25">
      <c r="C6" s="3">
        <v>0</v>
      </c>
      <c r="D6" s="3">
        <v>20</v>
      </c>
      <c r="E6" s="3">
        <f>(C6+D6)/2</f>
        <v>10</v>
      </c>
    </row>
    <row r="7" spans="3:7" x14ac:dyDescent="0.25">
      <c r="C7" s="3">
        <f>D6</f>
        <v>20</v>
      </c>
      <c r="D7" s="3">
        <v>40</v>
      </c>
      <c r="E7" s="3">
        <f t="shared" ref="E7:E10" si="0">(C7+D7)/2</f>
        <v>30</v>
      </c>
    </row>
    <row r="8" spans="3:7" x14ac:dyDescent="0.25">
      <c r="C8" s="3">
        <f t="shared" ref="C8:C10" si="1">D7</f>
        <v>40</v>
      </c>
      <c r="D8" s="3">
        <v>50</v>
      </c>
      <c r="E8" s="3">
        <f t="shared" si="0"/>
        <v>45</v>
      </c>
      <c r="G8" t="s">
        <v>42</v>
      </c>
    </row>
    <row r="9" spans="3:7" x14ac:dyDescent="0.25">
      <c r="C9" s="3">
        <f t="shared" si="1"/>
        <v>50</v>
      </c>
      <c r="D9" s="3">
        <v>60</v>
      </c>
      <c r="E9" s="3">
        <f t="shared" si="0"/>
        <v>55</v>
      </c>
    </row>
    <row r="10" spans="3:7" x14ac:dyDescent="0.25">
      <c r="C10" s="3">
        <f t="shared" si="1"/>
        <v>60</v>
      </c>
      <c r="D10" s="3">
        <v>80</v>
      </c>
      <c r="E10" s="3">
        <f t="shared" si="0"/>
        <v>70</v>
      </c>
    </row>
    <row r="11" spans="3:7" x14ac:dyDescent="0.25">
      <c r="G11" t="s">
        <v>41</v>
      </c>
    </row>
    <row r="15" spans="3:7" x14ac:dyDescent="0.25">
      <c r="G15" t="s">
        <v>44</v>
      </c>
    </row>
    <row r="18" spans="7:7" x14ac:dyDescent="0.25">
      <c r="G18" t="s">
        <v>45</v>
      </c>
    </row>
    <row r="21" spans="7:7" x14ac:dyDescent="0.25">
      <c r="G21" t="s">
        <v>46</v>
      </c>
    </row>
  </sheetData>
  <mergeCells count="1">
    <mergeCell ref="C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6290-4ED0-4BC6-8B9C-256F51621ABF}">
  <dimension ref="C7:E15"/>
  <sheetViews>
    <sheetView workbookViewId="0">
      <selection activeCell="B30" sqref="B30"/>
    </sheetView>
  </sheetViews>
  <sheetFormatPr baseColWidth="10" defaultRowHeight="15" x14ac:dyDescent="0.25"/>
  <sheetData>
    <row r="7" spans="3:5" x14ac:dyDescent="0.25">
      <c r="C7" s="15" t="s">
        <v>24</v>
      </c>
      <c r="D7" s="15"/>
      <c r="E7" s="1" t="s">
        <v>25</v>
      </c>
    </row>
    <row r="8" spans="3:5" x14ac:dyDescent="0.25">
      <c r="C8" s="1">
        <v>0</v>
      </c>
      <c r="D8" s="1">
        <v>5000</v>
      </c>
      <c r="E8" s="1">
        <v>3145</v>
      </c>
    </row>
    <row r="9" spans="3:5" x14ac:dyDescent="0.25">
      <c r="C9" s="1">
        <f>D8</f>
        <v>5000</v>
      </c>
      <c r="D9" s="1">
        <v>5800</v>
      </c>
      <c r="E9" s="1">
        <v>2465</v>
      </c>
    </row>
    <row r="10" spans="3:5" x14ac:dyDescent="0.25">
      <c r="C10" s="1">
        <f t="shared" ref="C10:C14" si="0">D9</f>
        <v>5800</v>
      </c>
      <c r="D10" s="1">
        <v>6600</v>
      </c>
      <c r="E10" s="1">
        <v>4675</v>
      </c>
    </row>
    <row r="11" spans="3:5" x14ac:dyDescent="0.25">
      <c r="C11" s="1">
        <f t="shared" si="0"/>
        <v>6600</v>
      </c>
      <c r="D11" s="1">
        <v>8200</v>
      </c>
      <c r="E11" s="1">
        <v>11220</v>
      </c>
    </row>
    <row r="12" spans="3:5" x14ac:dyDescent="0.25">
      <c r="C12" s="1">
        <f t="shared" si="0"/>
        <v>8200</v>
      </c>
      <c r="D12" s="1">
        <v>9800</v>
      </c>
      <c r="E12" s="1">
        <v>9180</v>
      </c>
    </row>
    <row r="13" spans="3:5" x14ac:dyDescent="0.25">
      <c r="C13" s="1">
        <f t="shared" si="0"/>
        <v>9800</v>
      </c>
      <c r="D13" s="1">
        <v>13000</v>
      </c>
      <c r="E13" s="1">
        <v>8160</v>
      </c>
    </row>
    <row r="14" spans="3:5" x14ac:dyDescent="0.25">
      <c r="C14" s="1">
        <f t="shared" si="0"/>
        <v>13000</v>
      </c>
      <c r="D14" s="1"/>
      <c r="E14" s="1">
        <v>3655</v>
      </c>
    </row>
    <row r="15" spans="3:5" x14ac:dyDescent="0.25">
      <c r="E15" s="1">
        <f>SUM(E8:E14)</f>
        <v>42500</v>
      </c>
    </row>
  </sheetData>
  <mergeCells count="1">
    <mergeCell ref="C7:D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5FEF-80CD-4EF7-A701-F1F275DDC506}">
  <dimension ref="B7:I8"/>
  <sheetViews>
    <sheetView workbookViewId="0">
      <selection activeCell="L19" sqref="L19"/>
    </sheetView>
  </sheetViews>
  <sheetFormatPr baseColWidth="10" defaultRowHeight="15" x14ac:dyDescent="0.25"/>
  <cols>
    <col min="2" max="2" width="16.5703125" customWidth="1"/>
    <col min="3" max="9" width="5.7109375" style="5" customWidth="1"/>
  </cols>
  <sheetData>
    <row r="7" spans="2:9" x14ac:dyDescent="0.25">
      <c r="B7" s="1" t="s">
        <v>26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</row>
    <row r="8" spans="2:9" x14ac:dyDescent="0.25">
      <c r="B8" s="1" t="s">
        <v>27</v>
      </c>
      <c r="C8" s="3">
        <v>1</v>
      </c>
      <c r="D8" s="3">
        <v>5</v>
      </c>
      <c r="E8" s="3">
        <v>4</v>
      </c>
      <c r="F8" s="3">
        <v>3</v>
      </c>
      <c r="G8" s="3">
        <v>7</v>
      </c>
      <c r="H8" s="3">
        <v>6</v>
      </c>
      <c r="I8" s="3">
        <v>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559D-EB08-486B-BB0A-7FEFD31C96D1}">
  <dimension ref="B6:C12"/>
  <sheetViews>
    <sheetView workbookViewId="0">
      <selection activeCell="E25" sqref="E25"/>
    </sheetView>
  </sheetViews>
  <sheetFormatPr baseColWidth="10" defaultRowHeight="15" x14ac:dyDescent="0.25"/>
  <cols>
    <col min="2" max="2" width="18.42578125" customWidth="1"/>
    <col min="3" max="3" width="18.28515625" customWidth="1"/>
  </cols>
  <sheetData>
    <row r="6" spans="2:3" x14ac:dyDescent="0.25">
      <c r="B6" s="3" t="s">
        <v>28</v>
      </c>
      <c r="C6" s="3" t="s">
        <v>29</v>
      </c>
    </row>
    <row r="7" spans="2:3" x14ac:dyDescent="0.25">
      <c r="B7" s="3">
        <v>0</v>
      </c>
      <c r="C7" s="3">
        <v>18</v>
      </c>
    </row>
    <row r="8" spans="2:3" x14ac:dyDescent="0.25">
      <c r="B8" s="3">
        <v>1</v>
      </c>
      <c r="C8" s="3">
        <v>27</v>
      </c>
    </row>
    <row r="9" spans="2:3" x14ac:dyDescent="0.25">
      <c r="B9" s="3">
        <v>2</v>
      </c>
      <c r="C9" s="3">
        <v>27</v>
      </c>
    </row>
    <row r="10" spans="2:3" x14ac:dyDescent="0.25">
      <c r="B10" s="3">
        <v>3</v>
      </c>
      <c r="C10" s="3">
        <v>18</v>
      </c>
    </row>
    <row r="11" spans="2:3" x14ac:dyDescent="0.25">
      <c r="B11" s="3">
        <v>4</v>
      </c>
      <c r="C11" s="3">
        <v>15</v>
      </c>
    </row>
    <row r="12" spans="2:3" x14ac:dyDescent="0.25">
      <c r="B12" s="3">
        <v>5</v>
      </c>
      <c r="C12" s="3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67E6-5DC4-4BAB-9FD2-1ADDAA495CBA}">
  <dimension ref="B7:O8"/>
  <sheetViews>
    <sheetView workbookViewId="0">
      <selection activeCell="D21" sqref="D21"/>
    </sheetView>
  </sheetViews>
  <sheetFormatPr baseColWidth="10" defaultRowHeight="15" x14ac:dyDescent="0.25"/>
  <cols>
    <col min="2" max="2" width="11.42578125" style="5"/>
    <col min="3" max="15" width="5.7109375" style="5" customWidth="1"/>
  </cols>
  <sheetData>
    <row r="7" spans="2:15" x14ac:dyDescent="0.25">
      <c r="B7" s="3" t="s">
        <v>30</v>
      </c>
      <c r="C7" s="3">
        <v>6</v>
      </c>
      <c r="D7" s="3">
        <v>7</v>
      </c>
      <c r="E7" s="3">
        <v>8</v>
      </c>
      <c r="F7" s="3">
        <v>9</v>
      </c>
      <c r="G7" s="3">
        <v>10</v>
      </c>
      <c r="H7" s="3">
        <v>11</v>
      </c>
      <c r="I7" s="3">
        <v>12</v>
      </c>
      <c r="J7" s="3">
        <v>13</v>
      </c>
      <c r="K7" s="3">
        <v>14</v>
      </c>
      <c r="L7" s="3">
        <v>15</v>
      </c>
      <c r="M7" s="3">
        <v>16</v>
      </c>
      <c r="N7" s="3">
        <v>17</v>
      </c>
      <c r="O7" s="3">
        <v>18</v>
      </c>
    </row>
    <row r="8" spans="2:15" x14ac:dyDescent="0.25">
      <c r="B8" s="3" t="s">
        <v>31</v>
      </c>
      <c r="C8" s="3">
        <v>10</v>
      </c>
      <c r="D8" s="3">
        <v>23</v>
      </c>
      <c r="E8" s="3">
        <v>45</v>
      </c>
      <c r="F8" s="3">
        <v>78</v>
      </c>
      <c r="G8" s="3">
        <v>116</v>
      </c>
      <c r="H8" s="3">
        <v>147</v>
      </c>
      <c r="I8" s="3">
        <v>162</v>
      </c>
      <c r="J8" s="3">
        <v>148</v>
      </c>
      <c r="K8" s="3">
        <v>117</v>
      </c>
      <c r="L8" s="3">
        <v>77</v>
      </c>
      <c r="M8" s="3">
        <v>46</v>
      </c>
      <c r="N8" s="3">
        <v>20</v>
      </c>
      <c r="O8" s="3">
        <v>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DF41-4BA7-4EF4-A539-B530AD2B5587}">
  <dimension ref="B7:H21"/>
  <sheetViews>
    <sheetView workbookViewId="0">
      <selection activeCell="G28" sqref="G28"/>
    </sheetView>
  </sheetViews>
  <sheetFormatPr baseColWidth="10" defaultRowHeight="15" x14ac:dyDescent="0.25"/>
  <cols>
    <col min="6" max="6" width="13.140625" customWidth="1"/>
  </cols>
  <sheetData>
    <row r="7" spans="2:8" x14ac:dyDescent="0.25">
      <c r="B7" s="15" t="s">
        <v>32</v>
      </c>
      <c r="C7" s="15"/>
      <c r="D7" s="3" t="s">
        <v>33</v>
      </c>
      <c r="E7" s="3" t="s">
        <v>31</v>
      </c>
      <c r="F7" s="3" t="s">
        <v>34</v>
      </c>
      <c r="G7" s="3" t="s">
        <v>35</v>
      </c>
      <c r="H7" s="3" t="s">
        <v>36</v>
      </c>
    </row>
    <row r="8" spans="2:8" x14ac:dyDescent="0.25">
      <c r="B8" s="3">
        <v>900</v>
      </c>
      <c r="C8" s="3">
        <v>1100</v>
      </c>
      <c r="D8" s="3"/>
      <c r="E8" s="3"/>
      <c r="F8" s="6">
        <v>0.05</v>
      </c>
      <c r="G8" s="3"/>
      <c r="H8" s="6"/>
    </row>
    <row r="9" spans="2:8" x14ac:dyDescent="0.25">
      <c r="B9" s="3">
        <f>C8</f>
        <v>1100</v>
      </c>
      <c r="C9" s="3">
        <v>1200</v>
      </c>
      <c r="D9" s="3"/>
      <c r="E9" s="3"/>
      <c r="F9" s="6">
        <v>8.5000000000000006E-2</v>
      </c>
      <c r="G9" s="3"/>
      <c r="H9" s="6"/>
    </row>
    <row r="10" spans="2:8" x14ac:dyDescent="0.25">
      <c r="B10" s="3">
        <f t="shared" ref="B10:B11" si="0">C9</f>
        <v>1200</v>
      </c>
      <c r="C10" s="3">
        <v>1300</v>
      </c>
      <c r="D10" s="3"/>
      <c r="E10" s="3"/>
      <c r="F10" s="6">
        <v>0.23749999999999999</v>
      </c>
      <c r="G10" s="6"/>
      <c r="H10" s="6"/>
    </row>
    <row r="11" spans="2:8" x14ac:dyDescent="0.25">
      <c r="B11" s="3">
        <f t="shared" si="0"/>
        <v>1300</v>
      </c>
      <c r="C11" s="3">
        <v>1400</v>
      </c>
      <c r="D11" s="3"/>
      <c r="E11" s="3"/>
      <c r="F11" s="6">
        <v>0.25</v>
      </c>
      <c r="G11" s="3"/>
      <c r="H11" s="6"/>
    </row>
    <row r="12" spans="2:8" x14ac:dyDescent="0.25">
      <c r="B12" s="3">
        <v>1400</v>
      </c>
      <c r="C12" s="3">
        <v>1600</v>
      </c>
      <c r="D12" s="3">
        <f t="shared" ref="D12" si="1">(B12+C12)/2</f>
        <v>1500</v>
      </c>
      <c r="E12" s="3"/>
      <c r="F12" s="6"/>
      <c r="G12" s="3"/>
      <c r="H12" s="6"/>
    </row>
    <row r="13" spans="2:8" x14ac:dyDescent="0.25">
      <c r="B13" s="3">
        <v>1600</v>
      </c>
      <c r="C13" s="3">
        <v>1700</v>
      </c>
      <c r="D13" s="3"/>
      <c r="E13" s="3"/>
      <c r="F13" s="6">
        <v>6.7500000000000004E-2</v>
      </c>
      <c r="G13" s="3">
        <v>400</v>
      </c>
      <c r="H13" s="6"/>
    </row>
    <row r="14" spans="2:8" x14ac:dyDescent="0.25">
      <c r="E14" s="7"/>
    </row>
    <row r="17" spans="2:2" x14ac:dyDescent="0.25">
      <c r="B17" t="s">
        <v>37</v>
      </c>
    </row>
    <row r="19" spans="2:2" x14ac:dyDescent="0.25">
      <c r="B19" t="s">
        <v>38</v>
      </c>
    </row>
    <row r="21" spans="2:2" x14ac:dyDescent="0.25">
      <c r="B21" t="s">
        <v>39</v>
      </c>
    </row>
  </sheetData>
  <mergeCells count="1"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EX3</vt:lpstr>
      <vt:lpstr>EX4</vt:lpstr>
      <vt:lpstr>EX5-EX9</vt:lpstr>
      <vt:lpstr>EX6-EX10</vt:lpstr>
      <vt:lpstr>EX7</vt:lpstr>
      <vt:lpstr>EX8</vt:lpstr>
      <vt:lpstr>EX12</vt:lpstr>
      <vt:lpstr>EX13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JAUBERT</dc:creator>
  <cp:lastModifiedBy>Stéphane JAUBERT</cp:lastModifiedBy>
  <dcterms:created xsi:type="dcterms:W3CDTF">2023-04-06T06:29:18Z</dcterms:created>
  <dcterms:modified xsi:type="dcterms:W3CDTF">2025-09-23T10:58:07Z</dcterms:modified>
</cp:coreProperties>
</file>