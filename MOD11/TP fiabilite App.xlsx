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Bachelor/2025 BACH/MA/Stage 1 Fiabilité/"/>
    </mc:Choice>
  </mc:AlternateContent>
  <xr:revisionPtr revIDLastSave="1" documentId="8_{C4982503-575B-4BAE-B6D5-7DE20F3B8C8D}" xr6:coauthVersionLast="47" xr6:coauthVersionMax="47" xr10:uidLastSave="{28A959A2-E318-4FAA-B47D-B0B8942FFED3}"/>
  <bookViews>
    <workbookView xWindow="-120" yWindow="-120" windowWidth="29040" windowHeight="15840" activeTab="1" xr2:uid="{82C5B4AD-F17B-4BFE-A0C9-BB963F28CE4B}"/>
  </bookViews>
  <sheets>
    <sheet name="Fiabilité  d'une ligne" sheetId="1" r:id="rId1"/>
    <sheet name="Etude la remplisseuse" sheetId="3" r:id="rId2"/>
    <sheet name="Cas  Gamma non nul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5" l="1" a="1"/>
  <c r="E33" i="5"/>
  <c r="R26" i="1"/>
  <c r="S26" i="1"/>
  <c r="U26" i="1"/>
  <c r="W26" i="1"/>
  <c r="D33" i="5"/>
</calcChain>
</file>

<file path=xl/sharedStrings.xml><?xml version="1.0" encoding="utf-8"?>
<sst xmlns="http://schemas.openxmlformats.org/spreadsheetml/2006/main" count="67" uniqueCount="59">
  <si>
    <t>Soutirage Cola</t>
  </si>
  <si>
    <t>Soutirage liquides</t>
  </si>
  <si>
    <t>Mélangeuse</t>
  </si>
  <si>
    <t>Remplisseuse</t>
  </si>
  <si>
    <t>Fermeuse</t>
  </si>
  <si>
    <t>Encaisseuse</t>
  </si>
  <si>
    <t>Soutirage cola</t>
  </si>
  <si>
    <t>Soutirage liquide</t>
  </si>
  <si>
    <t>Relevé de pannes effectué sur une période de: (heures) ==&gt;</t>
  </si>
  <si>
    <t>MTBF</t>
  </si>
  <si>
    <t>Nbr</t>
  </si>
  <si>
    <t>R</t>
  </si>
  <si>
    <t>(1)</t>
  </si>
  <si>
    <t>(3)</t>
  </si>
  <si>
    <t>(2)</t>
  </si>
  <si>
    <t>Pannes indiquées en heures</t>
  </si>
  <si>
    <t>(4) Fiabilité de la ligne de production:</t>
  </si>
  <si>
    <t>(1) Période d'analyse</t>
  </si>
  <si>
    <t>(2) Pannes en heures</t>
  </si>
  <si>
    <t>(3) Temps de calcul pour la probabilité R</t>
  </si>
  <si>
    <t xml:space="preserve"> λ</t>
  </si>
  <si>
    <t>(6) Définir des conditions pour mettre en valeur les plus mauvaises fiabilités</t>
  </si>
  <si>
    <t>On s'intéresse plus particulièrement à la remplisseuse</t>
  </si>
  <si>
    <t>Sur une période de 1000 heures, on donne les temps de bon fonctionnement</t>
  </si>
  <si>
    <t>F</t>
  </si>
  <si>
    <t>N° de panne</t>
  </si>
  <si>
    <t>TBF</t>
  </si>
  <si>
    <t>X=ln(TBF)</t>
  </si>
  <si>
    <t>Y=ln(ln(1/R))</t>
  </si>
  <si>
    <t>3) Avec le modèle théorique défini en 2) déterminer la MTBF de la remplisseuse</t>
  </si>
  <si>
    <t>Y=ln(-lnR)</t>
  </si>
  <si>
    <t>X=ln(TBF-Gamma)</t>
  </si>
  <si>
    <t>Rang</t>
  </si>
  <si>
    <t>3-2-1) Compléter les colonnes Y et X</t>
  </si>
  <si>
    <t>3-2-2) Représenter le nuage de points (X,Y) (insertion nuage de points)</t>
  </si>
  <si>
    <t>3-2-3) Représenter la droite des moindre carrés et le coefficient R²</t>
  </si>
  <si>
    <t>5) Déterminer enfin la MTBF</t>
  </si>
  <si>
    <t>g =</t>
  </si>
  <si>
    <r>
      <t xml:space="preserve">3) Nous allons redresser la courbe en choisissant le paramètre </t>
    </r>
    <r>
      <rPr>
        <b/>
        <sz val="10"/>
        <rFont val="Symbol"/>
        <family val="1"/>
        <charset val="2"/>
      </rPr>
      <t>g</t>
    </r>
    <r>
      <rPr>
        <b/>
        <sz val="10"/>
        <rFont val="Arial"/>
        <family val="2"/>
      </rPr>
      <t xml:space="preserve"> approprié</t>
    </r>
  </si>
  <si>
    <r>
      <t xml:space="preserve">4) Une fois </t>
    </r>
    <r>
      <rPr>
        <b/>
        <sz val="10"/>
        <rFont val="Symbol"/>
        <family val="1"/>
        <charset val="2"/>
      </rPr>
      <t xml:space="preserve">g </t>
    </r>
    <r>
      <rPr>
        <b/>
        <sz val="10"/>
        <rFont val="Arial"/>
        <family val="2"/>
      </rPr>
      <t xml:space="preserve">déterminé, en déduire les paramètres </t>
    </r>
    <r>
      <rPr>
        <b/>
        <sz val="10"/>
        <rFont val="Calibri"/>
        <family val="2"/>
      </rPr>
      <t>β</t>
    </r>
    <r>
      <rPr>
        <b/>
        <sz val="10"/>
        <rFont val="Arial"/>
        <family val="2"/>
      </rPr>
      <t xml:space="preserve"> et </t>
    </r>
    <r>
      <rPr>
        <b/>
        <sz val="10"/>
        <rFont val="Calibri"/>
        <family val="2"/>
      </rPr>
      <t>η</t>
    </r>
  </si>
  <si>
    <r>
      <t xml:space="preserve">3-2-4) Par des essais successifs incrémenter </t>
    </r>
    <r>
      <rPr>
        <b/>
        <sz val="10"/>
        <rFont val="Symbol"/>
        <family val="1"/>
        <charset val="2"/>
      </rPr>
      <t>g</t>
    </r>
    <r>
      <rPr>
        <b/>
        <sz val="10"/>
        <rFont val="Arial"/>
        <family val="2"/>
      </rPr>
      <t xml:space="preserve"> dans la cellule G8 jusqu'à obtenir au moins un R² de 0,999</t>
    </r>
  </si>
  <si>
    <t>b</t>
  </si>
  <si>
    <t>MTBF =</t>
  </si>
  <si>
    <t xml:space="preserve">2) Tracer les couples de points (X,Y) </t>
  </si>
  <si>
    <t>3-1) Méthode statistique avec Excel :</t>
  </si>
  <si>
    <t>(5) A partir des pannes indiquées en heures dans le tableau (2) compléter les colonnes Nbr, MTBF, λ et R (aidez vous de la première ligne)</t>
  </si>
  <si>
    <t>4) Retrouver tous les résultats précédents avec Ellistat</t>
  </si>
  <si>
    <t>1) En utilisant la méthode des rangs médians compléter le tableau</t>
  </si>
  <si>
    <t>2) Reporter les points sur un graphique Excel (type nuage de points) et déterminer les paramètres de la loi de fiabilité</t>
  </si>
  <si>
    <t>6) Retrouver les résultats précédents avec Ellistat</t>
  </si>
  <si>
    <t>h :</t>
  </si>
  <si>
    <t xml:space="preserve">Pour rappel : </t>
  </si>
  <si>
    <r>
      <rPr>
        <b/>
        <sz val="11"/>
        <rFont val="Symbol"/>
        <family val="1"/>
        <charset val="2"/>
      </rPr>
      <t xml:space="preserve">(g </t>
    </r>
    <r>
      <rPr>
        <b/>
        <sz val="11"/>
        <rFont val="Arial"/>
        <family val="2"/>
      </rPr>
      <t>= 0)</t>
    </r>
  </si>
  <si>
    <t>Période de calcul des fiabilités</t>
  </si>
  <si>
    <t>(4) A partir des fiabilités du schéma compléter par une formule adaptée la fiabilité totale de la ligne en U17</t>
  </si>
  <si>
    <t>(7) Qelle devrait-être la fiabilité de "l'encaisseuse" pour avoir une fiabilité totale de la ligne de 74% (à t=44) ?</t>
  </si>
  <si>
    <t>5) Déterminer le risque d'avoir une défaillance avant la MTBF</t>
  </si>
  <si>
    <t>7) Déterminer la probabilité de na pas avoir de défaillance avant 1000 heures</t>
  </si>
  <si>
    <t>1) Estimer la fonction de répartition F par les rangs médians et compléter le tableau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</si>
</sst>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4">
    <font>
      <sz val="10"/>
      <name val="Arial"/>
    </font>
    <font>
      <sz val="10"/>
      <name val="Arial"/>
    </font>
    <font>
      <sz val="24"/>
      <name val="Arial"/>
      <family val="2"/>
    </font>
    <font>
      <sz val="18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color indexed="57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Calibri"/>
      <family val="2"/>
    </font>
    <font>
      <b/>
      <sz val="14"/>
      <name val="Symbol"/>
      <family val="1"/>
      <charset val="2"/>
    </font>
    <font>
      <b/>
      <sz val="10"/>
      <name val="Symbol"/>
      <family val="1"/>
      <charset val="2"/>
    </font>
    <font>
      <b/>
      <sz val="6"/>
      <color indexed="10"/>
      <name val="Arial"/>
      <family val="2"/>
    </font>
    <font>
      <b/>
      <sz val="11"/>
      <name val="Symbol"/>
      <family val="1"/>
      <charset val="2"/>
    </font>
    <font>
      <b/>
      <sz val="12"/>
      <name val="Symbol"/>
      <family val="1"/>
      <charset val="2"/>
    </font>
    <font>
      <b/>
      <sz val="11"/>
      <name val="Arial"/>
      <family val="1"/>
      <charset val="2"/>
    </font>
    <font>
      <sz val="8"/>
      <name val="Arial"/>
      <family val="2"/>
    </font>
    <font>
      <b/>
      <sz val="11"/>
      <color theme="4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22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0" borderId="0" xfId="0" applyFont="1"/>
    <xf numFmtId="0" fontId="0" fillId="0" borderId="1" xfId="0" applyBorder="1" applyAlignment="1">
      <alignment horizontal="center"/>
    </xf>
    <xf numFmtId="0" fontId="12" fillId="0" borderId="0" xfId="0" applyFont="1"/>
    <xf numFmtId="165" fontId="0" fillId="0" borderId="1" xfId="1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Border="1"/>
    <xf numFmtId="0" fontId="10" fillId="0" borderId="1" xfId="0" applyFont="1" applyBorder="1"/>
    <xf numFmtId="0" fontId="13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right" vertical="top"/>
    </xf>
    <xf numFmtId="0" fontId="12" fillId="4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1" xfId="0" applyFill="1" applyBorder="1"/>
    <xf numFmtId="0" fontId="8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20" fillId="0" borderId="0" xfId="0" applyFont="1"/>
    <xf numFmtId="165" fontId="6" fillId="0" borderId="1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5" fontId="17" fillId="0" borderId="4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center" vertical="center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 wrapText="1"/>
    </xf>
    <xf numFmtId="10" fontId="23" fillId="0" borderId="4" xfId="1" applyNumberFormat="1" applyFont="1" applyBorder="1" applyAlignment="1">
      <alignment horizontal="center" vertical="center"/>
    </xf>
    <xf numFmtId="10" fontId="23" fillId="0" borderId="15" xfId="1" applyNumberFormat="1" applyFont="1" applyBorder="1" applyAlignment="1">
      <alignment horizontal="center" vertical="center"/>
    </xf>
    <xf numFmtId="10" fontId="23" fillId="0" borderId="5" xfId="1" applyNumberFormat="1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18</xdr:row>
      <xdr:rowOff>0</xdr:rowOff>
    </xdr:from>
    <xdr:to>
      <xdr:col>1</xdr:col>
      <xdr:colOff>342900</xdr:colOff>
      <xdr:row>18</xdr:row>
      <xdr:rowOff>0</xdr:rowOff>
    </xdr:to>
    <xdr:sp macro="" textlink="">
      <xdr:nvSpPr>
        <xdr:cNvPr id="9370" name="Line 11">
          <a:extLst>
            <a:ext uri="{FF2B5EF4-FFF2-40B4-BE49-F238E27FC236}">
              <a16:creationId xmlns:a16="http://schemas.microsoft.com/office/drawing/2014/main" id="{78351AB5-4566-276F-5633-4DABC414D26C}"/>
            </a:ext>
          </a:extLst>
        </xdr:cNvPr>
        <xdr:cNvSpPr>
          <a:spLocks noChangeShapeType="1"/>
        </xdr:cNvSpPr>
      </xdr:nvSpPr>
      <xdr:spPr bwMode="auto">
        <a:xfrm flipH="1">
          <a:off x="1552575" y="4095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340993</xdr:colOff>
      <xdr:row>1</xdr:row>
      <xdr:rowOff>19051</xdr:rowOff>
    </xdr:from>
    <xdr:to>
      <xdr:col>18</xdr:col>
      <xdr:colOff>248617</xdr:colOff>
      <xdr:row>4</xdr:row>
      <xdr:rowOff>19051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312512E2-DC86-818D-CDB0-97FB0E3DA076}"/>
            </a:ext>
          </a:extLst>
        </xdr:cNvPr>
        <xdr:cNvSpPr txBox="1"/>
      </xdr:nvSpPr>
      <xdr:spPr>
        <a:xfrm>
          <a:off x="1592578" y="308611"/>
          <a:ext cx="5654041" cy="8686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1000"/>
            </a:lnSpc>
          </a:pPr>
          <a:r>
            <a:rPr lang="fr-FR" sz="1400" b="1"/>
            <a:t>Feuille de calcul du taux de fiabilité d'une ligne de production</a:t>
          </a:r>
        </a:p>
        <a:p>
          <a:pPr algn="ctr">
            <a:lnSpc>
              <a:spcPts val="1300"/>
            </a:lnSpc>
          </a:pPr>
          <a:r>
            <a:rPr lang="fr-FR" sz="1400" b="1"/>
            <a:t>(Commencer</a:t>
          </a:r>
          <a:r>
            <a:rPr lang="fr-FR" sz="1400" b="1" baseline="0"/>
            <a:t> par enregistrer cette feuille dans votre espace de travail !!)</a:t>
          </a:r>
          <a:endParaRPr lang="fr-FR" sz="1400" b="1"/>
        </a:p>
      </xdr:txBody>
    </xdr:sp>
    <xdr:clientData/>
  </xdr:twoCellAnchor>
  <xdr:twoCellAnchor editAs="oneCell">
    <xdr:from>
      <xdr:col>0</xdr:col>
      <xdr:colOff>85725</xdr:colOff>
      <xdr:row>0</xdr:row>
      <xdr:rowOff>57150</xdr:rowOff>
    </xdr:from>
    <xdr:to>
      <xdr:col>0</xdr:col>
      <xdr:colOff>1209675</xdr:colOff>
      <xdr:row>4</xdr:row>
      <xdr:rowOff>19050</xdr:rowOff>
    </xdr:to>
    <xdr:pic>
      <xdr:nvPicPr>
        <xdr:cNvPr id="9372" name="Image 3">
          <a:extLst>
            <a:ext uri="{FF2B5EF4-FFF2-40B4-BE49-F238E27FC236}">
              <a16:creationId xmlns:a16="http://schemas.microsoft.com/office/drawing/2014/main" id="{748D74D0-8705-1D8F-7E67-395A7F529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12395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15</xdr:row>
      <xdr:rowOff>38100</xdr:rowOff>
    </xdr:from>
    <xdr:to>
      <xdr:col>19</xdr:col>
      <xdr:colOff>66675</xdr:colOff>
      <xdr:row>21</xdr:row>
      <xdr:rowOff>28575</xdr:rowOff>
    </xdr:to>
    <xdr:grpSp>
      <xdr:nvGrpSpPr>
        <xdr:cNvPr id="9373" name="Groupe 3">
          <a:extLst>
            <a:ext uri="{FF2B5EF4-FFF2-40B4-BE49-F238E27FC236}">
              <a16:creationId xmlns:a16="http://schemas.microsoft.com/office/drawing/2014/main" id="{F120C22B-880F-403F-8A9C-4555F2F60AD3}"/>
            </a:ext>
          </a:extLst>
        </xdr:cNvPr>
        <xdr:cNvGrpSpPr>
          <a:grpSpLocks/>
        </xdr:cNvGrpSpPr>
      </xdr:nvGrpSpPr>
      <xdr:grpSpPr bwMode="auto">
        <a:xfrm>
          <a:off x="1553308" y="3598985"/>
          <a:ext cx="5986829" cy="1023571"/>
          <a:chOff x="1553766" y="3604022"/>
          <a:chExt cx="5930503" cy="1014412"/>
        </a:xfrm>
      </xdr:grpSpPr>
      <xdr:sp macro="" textlink="">
        <xdr:nvSpPr>
          <xdr:cNvPr id="9374" name="Line 16">
            <a:extLst>
              <a:ext uri="{FF2B5EF4-FFF2-40B4-BE49-F238E27FC236}">
                <a16:creationId xmlns:a16="http://schemas.microsoft.com/office/drawing/2014/main" id="{B0B6007B-B4BD-6497-3B9D-D98813DB97E0}"/>
              </a:ext>
            </a:extLst>
          </xdr:cNvPr>
          <xdr:cNvSpPr>
            <a:spLocks noChangeShapeType="1"/>
          </xdr:cNvSpPr>
        </xdr:nvSpPr>
        <xdr:spPr bwMode="auto">
          <a:xfrm>
            <a:off x="2601516" y="3604022"/>
            <a:ext cx="0" cy="9370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9375" name="Groupe 1">
            <a:extLst>
              <a:ext uri="{FF2B5EF4-FFF2-40B4-BE49-F238E27FC236}">
                <a16:creationId xmlns:a16="http://schemas.microsoft.com/office/drawing/2014/main" id="{173368FF-C604-D59C-2E51-90DB5A00F26D}"/>
              </a:ext>
            </a:extLst>
          </xdr:cNvPr>
          <xdr:cNvGrpSpPr>
            <a:grpSpLocks/>
          </xdr:cNvGrpSpPr>
        </xdr:nvGrpSpPr>
        <xdr:grpSpPr bwMode="auto">
          <a:xfrm>
            <a:off x="1553766" y="3604022"/>
            <a:ext cx="5930503" cy="1014412"/>
            <a:chOff x="1553766" y="3604022"/>
            <a:chExt cx="5930503" cy="1014412"/>
          </a:xfrm>
        </xdr:grpSpPr>
        <xdr:sp macro="" textlink="">
          <xdr:nvSpPr>
            <xdr:cNvPr id="9376" name="Line 7">
              <a:extLst>
                <a:ext uri="{FF2B5EF4-FFF2-40B4-BE49-F238E27FC236}">
                  <a16:creationId xmlns:a16="http://schemas.microsoft.com/office/drawing/2014/main" id="{B80B9D0B-62FB-0B29-6DE0-58549DD9147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53766" y="3604022"/>
              <a:ext cx="0" cy="9370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77" name="Line 8">
              <a:extLst>
                <a:ext uri="{FF2B5EF4-FFF2-40B4-BE49-F238E27FC236}">
                  <a16:creationId xmlns:a16="http://schemas.microsoft.com/office/drawing/2014/main" id="{8E238232-A7AB-5B4F-2090-DB591C51213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53766" y="3604022"/>
              <a:ext cx="3333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78" name="Line 9">
              <a:extLst>
                <a:ext uri="{FF2B5EF4-FFF2-40B4-BE49-F238E27FC236}">
                  <a16:creationId xmlns:a16="http://schemas.microsoft.com/office/drawing/2014/main" id="{19E1D46B-28AB-B079-DE6D-B0D3C2009A2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53766" y="4541044"/>
              <a:ext cx="3333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79" name="Line 15">
              <a:extLst>
                <a:ext uri="{FF2B5EF4-FFF2-40B4-BE49-F238E27FC236}">
                  <a16:creationId xmlns:a16="http://schemas.microsoft.com/office/drawing/2014/main" id="{EAFAE153-2399-400F-4DD0-1CBF1CAC654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220891" y="4063603"/>
              <a:ext cx="6381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80" name="Line 17">
              <a:extLst>
                <a:ext uri="{FF2B5EF4-FFF2-40B4-BE49-F238E27FC236}">
                  <a16:creationId xmlns:a16="http://schemas.microsoft.com/office/drawing/2014/main" id="{9E3F6757-9CC1-DDE5-B27C-1721B5A5045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230041" y="3604022"/>
              <a:ext cx="3714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81" name="Line 18">
              <a:extLst>
                <a:ext uri="{FF2B5EF4-FFF2-40B4-BE49-F238E27FC236}">
                  <a16:creationId xmlns:a16="http://schemas.microsoft.com/office/drawing/2014/main" id="{CB8569BC-F1BC-F04D-C16A-DA6C2FBA7CD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230041" y="4541044"/>
              <a:ext cx="37147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82" name="Line 25">
              <a:extLst>
                <a:ext uri="{FF2B5EF4-FFF2-40B4-BE49-F238E27FC236}">
                  <a16:creationId xmlns:a16="http://schemas.microsoft.com/office/drawing/2014/main" id="{72D152CB-31B4-8B4E-2DCA-CADFE3A4201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221016" y="4063603"/>
              <a:ext cx="126325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med" len="med"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9383" name="Groupe 30">
              <a:extLst>
                <a:ext uri="{FF2B5EF4-FFF2-40B4-BE49-F238E27FC236}">
                  <a16:creationId xmlns:a16="http://schemas.microsoft.com/office/drawing/2014/main" id="{62283AF4-2E3B-E98B-5A1B-E8F69294777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01516" y="3623072"/>
              <a:ext cx="2257425" cy="995362"/>
              <a:chOff x="2599841" y="3623071"/>
              <a:chExt cx="2255512" cy="996096"/>
            </a:xfrm>
          </xdr:grpSpPr>
          <xdr:grpSp>
            <xdr:nvGrpSpPr>
              <xdr:cNvPr id="9384" name="Groupe 24">
                <a:extLst>
                  <a:ext uri="{FF2B5EF4-FFF2-40B4-BE49-F238E27FC236}">
                    <a16:creationId xmlns:a16="http://schemas.microsoft.com/office/drawing/2014/main" id="{7CE3956F-33F1-FA3E-7B10-919CCAC63DE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99841" y="3623071"/>
                <a:ext cx="2255512" cy="456194"/>
                <a:chOff x="2610373" y="3618034"/>
                <a:chExt cx="2277493" cy="448408"/>
              </a:xfrm>
            </xdr:grpSpPr>
            <xdr:sp macro="" textlink="">
              <xdr:nvSpPr>
                <xdr:cNvPr id="9389" name="Line 14">
                  <a:extLst>
                    <a:ext uri="{FF2B5EF4-FFF2-40B4-BE49-F238E27FC236}">
                      <a16:creationId xmlns:a16="http://schemas.microsoft.com/office/drawing/2014/main" id="{2C48A38A-FEEC-B5BA-7A67-53087FA6AE5E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 flipV="1">
                  <a:off x="3868615" y="4051788"/>
                  <a:ext cx="1019251" cy="294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grpSp>
              <xdr:nvGrpSpPr>
                <xdr:cNvPr id="9390" name="Groupe 20">
                  <a:extLst>
                    <a:ext uri="{FF2B5EF4-FFF2-40B4-BE49-F238E27FC236}">
                      <a16:creationId xmlns:a16="http://schemas.microsoft.com/office/drawing/2014/main" id="{DA47B4D6-37AB-0272-F693-F9439441BB2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610373" y="3618034"/>
                  <a:ext cx="1287696" cy="448408"/>
                  <a:chOff x="2610373" y="3618034"/>
                  <a:chExt cx="1287696" cy="448408"/>
                </a:xfrm>
              </xdr:grpSpPr>
              <xdr:sp macro="" textlink="">
                <xdr:nvSpPr>
                  <xdr:cNvPr id="9391" name="Line 10">
                    <a:extLst>
                      <a:ext uri="{FF2B5EF4-FFF2-40B4-BE49-F238E27FC236}">
                        <a16:creationId xmlns:a16="http://schemas.microsoft.com/office/drawing/2014/main" id="{0CECD5ED-7CB6-AA9B-F1FF-2E873F66C85C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2610373" y="4051788"/>
                    <a:ext cx="173858" cy="294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9392" name="Line 13">
                    <a:extLst>
                      <a:ext uri="{FF2B5EF4-FFF2-40B4-BE49-F238E27FC236}">
                        <a16:creationId xmlns:a16="http://schemas.microsoft.com/office/drawing/2014/main" id="{8EAA6F91-26C5-AC46-FD6D-02C7B39D4C35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3392364" y="4054735"/>
                    <a:ext cx="505705" cy="438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cxnSp macro="">
                <xdr:nvCxnSpPr>
                  <xdr:cNvPr id="9393" name="Connecteur droit 3">
                    <a:extLst>
                      <a:ext uri="{FF2B5EF4-FFF2-40B4-BE49-F238E27FC236}">
                        <a16:creationId xmlns:a16="http://schemas.microsoft.com/office/drawing/2014/main" id="{D33F1F55-7805-4ABC-1528-E8681DD72E76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2813538" y="3619500"/>
                    <a:ext cx="879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xmlns:mc="http://schemas.openxmlformats.org/markup-compatibility/2006" xmlns:a14="http://schemas.microsoft.com/office/drawing/2010/main" val="000000" mc:Ignorable="a14" a14:legacySpreadsheetColorIndex="64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sp macro="" textlink="">
                <xdr:nvSpPr>
                  <xdr:cNvPr id="9394" name="Line 13">
                    <a:extLst>
                      <a:ext uri="{FF2B5EF4-FFF2-40B4-BE49-F238E27FC236}">
                        <a16:creationId xmlns:a16="http://schemas.microsoft.com/office/drawing/2014/main" id="{5B56602B-C50F-2C46-D2DA-E7DF79853FF3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3385036" y="3626827"/>
                    <a:ext cx="1" cy="4396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9395" name="Line 13">
                    <a:extLst>
                      <a:ext uri="{FF2B5EF4-FFF2-40B4-BE49-F238E27FC236}">
                        <a16:creationId xmlns:a16="http://schemas.microsoft.com/office/drawing/2014/main" id="{2CE538B6-502A-B717-65B1-DABCAB7345BB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2797418" y="3618034"/>
                    <a:ext cx="7327" cy="4396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cxnSp macro="">
                <xdr:nvCxnSpPr>
                  <xdr:cNvPr id="9396" name="Connecteur droit 17">
                    <a:extLst>
                      <a:ext uri="{FF2B5EF4-FFF2-40B4-BE49-F238E27FC236}">
                        <a16:creationId xmlns:a16="http://schemas.microsoft.com/office/drawing/2014/main" id="{B262A9FB-B60E-E950-3296-B309D5CADA93}"/>
                      </a:ext>
                    </a:extLst>
                  </xdr:cNvPr>
                  <xdr:cNvCxnSpPr>
                    <a:cxnSpLocks noChangeShapeType="1"/>
                    <a:stCxn id="9394" idx="0"/>
                  </xdr:cNvCxnSpPr>
                </xdr:nvCxnSpPr>
                <xdr:spPr bwMode="auto">
                  <a:xfrm flipH="1">
                    <a:off x="3231173" y="3626827"/>
                    <a:ext cx="153864" cy="732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xmlns:mc="http://schemas.openxmlformats.org/markup-compatibility/2006" xmlns:a14="http://schemas.microsoft.com/office/drawing/2010/main" val="000000" mc:Ignorable="a14" a14:legacySpreadsheetColorIndex="64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</xdr:grpSp>
          </xdr:grpSp>
          <xdr:cxnSp macro="">
            <xdr:nvCxnSpPr>
              <xdr:cNvPr id="9385" name="Connecteur droit 22">
                <a:extLst>
                  <a:ext uri="{FF2B5EF4-FFF2-40B4-BE49-F238E27FC236}">
                    <a16:creationId xmlns:a16="http://schemas.microsoft.com/office/drawing/2014/main" id="{D768F412-0ED6-8C92-3AFC-F7F4BC40E58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3367179" y="4086592"/>
                <a:ext cx="0" cy="532575"/>
              </a:xfrm>
              <a:prstGeom prst="line">
                <a:avLst/>
              </a:prstGeom>
              <a:noFill/>
              <a:ln w="9525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9386" name="Connecteur droit 23">
                <a:extLst>
                  <a:ext uri="{FF2B5EF4-FFF2-40B4-BE49-F238E27FC236}">
                    <a16:creationId xmlns:a16="http://schemas.microsoft.com/office/drawing/2014/main" id="{F9CF4867-5908-35E6-1878-FE1789B5CE6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786887" y="4063603"/>
                <a:ext cx="0" cy="532118"/>
              </a:xfrm>
              <a:prstGeom prst="line">
                <a:avLst/>
              </a:prstGeom>
              <a:noFill/>
              <a:ln w="9525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9387" name="Connecteur droit 26">
                <a:extLst>
                  <a:ext uri="{FF2B5EF4-FFF2-40B4-BE49-F238E27FC236}">
                    <a16:creationId xmlns:a16="http://schemas.microsoft.com/office/drawing/2014/main" id="{A2079607-BA52-B6EC-0876-10CB6F5476B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H="1">
                <a:off x="3227968" y="4611840"/>
                <a:ext cx="131885" cy="0"/>
              </a:xfrm>
              <a:prstGeom prst="line">
                <a:avLst/>
              </a:prstGeom>
              <a:noFill/>
              <a:ln w="9525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9388" name="Connecteur droit 28">
                <a:extLst>
                  <a:ext uri="{FF2B5EF4-FFF2-40B4-BE49-F238E27FC236}">
                    <a16:creationId xmlns:a16="http://schemas.microsoft.com/office/drawing/2014/main" id="{E04C3CFD-972E-F6D2-03D9-E9BC1748F0D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788353" y="4589859"/>
                <a:ext cx="98913" cy="0"/>
              </a:xfrm>
              <a:prstGeom prst="line">
                <a:avLst/>
              </a:prstGeom>
              <a:noFill/>
              <a:ln w="9525" algn="ctr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28576</xdr:colOff>
      <xdr:row>6</xdr:row>
      <xdr:rowOff>9526</xdr:rowOff>
    </xdr:from>
    <xdr:ext cx="971550" cy="37651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47C571D5-209A-3A73-CF04-0DED5D7FB101}"/>
                </a:ext>
              </a:extLst>
            </xdr:cNvPr>
            <xdr:cNvSpPr txBox="1"/>
          </xdr:nvSpPr>
          <xdr:spPr>
            <a:xfrm>
              <a:off x="2457451" y="1019176"/>
              <a:ext cx="971550" cy="3765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200" b="1" i="1">
                        <a:latin typeface="Cambria Math" panose="02040503050406030204" pitchFamily="18" charset="0"/>
                      </a:rPr>
                      <m:t>𝑭</m:t>
                    </m:r>
                    <m:r>
                      <a:rPr lang="fr-FR" sz="12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fr-FR" sz="12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fr-FR" sz="1200" b="1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fr-FR" sz="12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e>
                        </m:nary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𝟎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num>
                      <m:den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𝑵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𝟎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fr-FR" sz="1200" b="1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47C571D5-209A-3A73-CF04-0DED5D7FB101}"/>
                </a:ext>
              </a:extLst>
            </xdr:cNvPr>
            <xdr:cNvSpPr txBox="1"/>
          </xdr:nvSpPr>
          <xdr:spPr>
            <a:xfrm>
              <a:off x="2457451" y="1019176"/>
              <a:ext cx="971550" cy="3765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fr-FR" sz="1200" b="1" i="0">
                  <a:latin typeface="Cambria Math" panose="02040503050406030204" pitchFamily="18" charset="0"/>
                </a:rPr>
                <a:t>𝑭=(∑▒𝒊  −𝟎,𝟑)/(𝑵+𝟎,𝟒)</a:t>
              </a:r>
              <a:endParaRPr lang="fr-FR" sz="1200" b="1"/>
            </a:p>
          </xdr:txBody>
        </xdr:sp>
      </mc:Fallback>
    </mc:AlternateContent>
    <xdr:clientData/>
  </xdr:oneCellAnchor>
  <xdr:oneCellAnchor>
    <xdr:from>
      <xdr:col>10</xdr:col>
      <xdr:colOff>133350</xdr:colOff>
      <xdr:row>5</xdr:row>
      <xdr:rowOff>104775</xdr:rowOff>
    </xdr:from>
    <xdr:ext cx="4306681" cy="11837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A9E991D0-A8AF-AAF9-2308-1CE4340DF636}"/>
                </a:ext>
              </a:extLst>
            </xdr:cNvPr>
            <xdr:cNvSpPr txBox="1"/>
          </xdr:nvSpPr>
          <xdr:spPr>
            <a:xfrm>
              <a:off x="8524875" y="952500"/>
              <a:ext cx="3734997" cy="4773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200" b="1" i="1">
                        <a:latin typeface="Cambria Math" panose="02040503050406030204" pitchFamily="18" charset="0"/>
                      </a:rPr>
                      <m:t>𝑹</m:t>
                    </m:r>
                    <m:d>
                      <m:dPr>
                        <m:ctrlPr>
                          <a:rPr lang="fr-FR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𝒕</m:t>
                        </m:r>
                      </m:e>
                    </m:d>
                    <m:r>
                      <a:rPr lang="fr-FR" sz="1200" b="1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fr-FR" sz="1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p>
                        <m:r>
                          <a:rPr lang="fr-FR" sz="1200" b="1" i="1">
                            <a:latin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lang="fr-FR" sz="12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fr-FR" sz="12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fr-FR" sz="12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fr-FR" sz="1200" b="1" i="1">
                                        <a:latin typeface="Cambria Math" panose="02040503050406030204" pitchFamily="18" charset="0"/>
                                      </a:rPr>
                                      <m:t>𝒕</m:t>
                                    </m:r>
                                    <m:r>
                                      <a:rPr lang="fr-FR" sz="1200" b="1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fr-FR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𝜸</m:t>
                                    </m:r>
                                  </m:num>
                                  <m:den>
                                    <m:r>
                                      <a:rPr lang="fr-FR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𝜼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fr-FR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𝜷</m:t>
                            </m:r>
                          </m:sup>
                        </m:sSup>
                      </m:sup>
                    </m:sSup>
                    <m:r>
                      <a:rPr lang="fr-F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⇔</m:t>
                    </m:r>
                    <m:r>
                      <a:rPr lang="fr-FR" sz="1200" b="1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𝐥𝐧</m:t>
                    </m:r>
                    <m:func>
                      <m:funcPr>
                        <m:ctrlPr>
                          <a:rPr lang="fr-F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uncPr>
                      <m:fName>
                        <m:d>
                          <m:dPr>
                            <m:ctrlPr>
                              <a:rPr lang="fr-FR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fr-FR" sz="12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𝐥𝐧</m:t>
                            </m:r>
                            <m:d>
                              <m:dPr>
                                <m:ctrlPr>
                                  <a:rPr lang="fr-FR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fr-FR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fr-FR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𝟏</m:t>
                                    </m:r>
                                  </m:num>
                                  <m:den>
                                    <m:r>
                                      <a:rPr lang="fr-FR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𝑹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</m:fName>
                      <m:e>
                        <m:r>
                          <a:rPr lang="fr-F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𝜷</m:t>
                        </m:r>
                        <m:func>
                          <m:funcPr>
                            <m:ctrlPr>
                              <a:rPr lang="fr-FR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a:rPr lang="fr-FR" sz="1200" b="1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𝐥𝐧</m:t>
                            </m:r>
                          </m:fName>
                          <m:e>
                            <m:d>
                              <m:dPr>
                                <m:ctrlPr>
                                  <a:rPr lang="fr-FR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fr-FR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𝒕</m:t>
                                </m:r>
                                <m:r>
                                  <a:rPr lang="fr-FR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fr-FR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</m:d>
                          </m:e>
                        </m:func>
                        <m:r>
                          <a:rPr lang="fr-F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𝜷</m:t>
                        </m:r>
                        <m:r>
                          <a:rPr lang="fr-FR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𝐥𝐧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⁡(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  <m:r>
                          <a:rPr lang="fr-F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e>
                    </m:func>
                  </m:oMath>
                </m:oMathPara>
              </a14:m>
              <a:endParaRPr lang="fr-FR" sz="1100" b="1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A9E991D0-A8AF-AAF9-2308-1CE4340DF636}"/>
                </a:ext>
              </a:extLst>
            </xdr:cNvPr>
            <xdr:cNvSpPr txBox="1"/>
          </xdr:nvSpPr>
          <xdr:spPr>
            <a:xfrm>
              <a:off x="8524875" y="952500"/>
              <a:ext cx="3734997" cy="4773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FR" sz="1200" b="1" i="0">
                  <a:latin typeface="Cambria Math" panose="02040503050406030204" pitchFamily="18" charset="0"/>
                </a:rPr>
                <a:t>𝑹(𝒕)=𝒆^(−((𝒕−</a:t>
              </a:r>
              <a:r>
                <a:rPr lang="fr-F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𝜸)/𝜼)^𝜷 )⇔𝐥𝐧 (</a:t>
              </a:r>
              <a:r>
                <a:rPr lang="fr-F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𝐥𝐧(𝟏/𝑹))</a:t>
              </a:r>
              <a:r>
                <a:rPr lang="fr-F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⁡〖</a:t>
              </a:r>
              <a:r>
                <a:rPr lang="fr-F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=𝜷 𝐥𝐧⁡(𝒕−𝜸)−𝜷𝐥𝐧⁡(𝜼)〗</a:t>
              </a:r>
              <a:endParaRPr lang="fr-FR" sz="1100" b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152400</xdr:rowOff>
    </xdr:from>
    <xdr:to>
      <xdr:col>10</xdr:col>
      <xdr:colOff>55230</xdr:colOff>
      <xdr:row>6</xdr:row>
      <xdr:rowOff>76390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C05447B9-4C60-3858-C354-244EA9B7EC9C}"/>
            </a:ext>
          </a:extLst>
        </xdr:cNvPr>
        <xdr:cNvSpPr txBox="1"/>
      </xdr:nvSpPr>
      <xdr:spPr>
        <a:xfrm>
          <a:off x="180975" y="142875"/>
          <a:ext cx="5962650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dépouillement des différents fichiers historiques concernant des réducteurs à axes concourants de même</a:t>
          </a:r>
          <a:r>
            <a:rPr lang="fr-FR" b="1"/>
            <a:t> type et fonctionnant dans des conditions identiques a permis de constater 21 avaries.</a:t>
          </a:r>
        </a:p>
        <a:p>
          <a:endParaRPr lang="fr-FR" sz="1100" b="1"/>
        </a:p>
        <a:p>
          <a:r>
            <a:rPr lang="fr-FR" sz="1100" b="1"/>
            <a:t>Les TBF en heures ont</a:t>
          </a:r>
          <a:r>
            <a:rPr lang="fr-FR" sz="1100" b="1" baseline="0"/>
            <a:t> été relevés et classés par ordre croissant :</a:t>
          </a:r>
        </a:p>
        <a:p>
          <a:r>
            <a:rPr lang="fr-FR" sz="1100" b="1" baseline="0"/>
            <a:t>                                                                    (NE PAS MODIFIER LES CELLULES GRISEES)</a:t>
          </a:r>
        </a:p>
        <a:p>
          <a:endParaRPr lang="fr-F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D0DC-F505-4BA9-BD43-E0A62BDADC77}">
  <sheetPr>
    <pageSetUpPr fitToPage="1"/>
  </sheetPr>
  <dimension ref="A1:Y31"/>
  <sheetViews>
    <sheetView topLeftCell="A11" zoomScale="130" zoomScaleNormal="130" workbookViewId="0">
      <selection activeCell="E14" sqref="E14"/>
    </sheetView>
  </sheetViews>
  <sheetFormatPr baseColWidth="10" defaultRowHeight="12.75"/>
  <cols>
    <col min="1" max="1" width="18.140625" customWidth="1"/>
    <col min="2" max="2" width="5.140625" customWidth="1"/>
    <col min="3" max="17" width="5" customWidth="1"/>
    <col min="18" max="18" width="3.85546875" customWidth="1"/>
    <col min="19" max="19" width="9.140625" customWidth="1"/>
    <col min="20" max="20" width="1.42578125" customWidth="1"/>
    <col min="21" max="21" width="9.5703125" customWidth="1"/>
    <col min="22" max="22" width="1.42578125" customWidth="1"/>
    <col min="23" max="23" width="12" customWidth="1"/>
  </cols>
  <sheetData>
    <row r="1" spans="1:25" ht="23.25">
      <c r="C1" s="2"/>
    </row>
    <row r="2" spans="1:25" ht="23.25">
      <c r="C2" s="2"/>
    </row>
    <row r="3" spans="1:25" ht="23.25">
      <c r="C3" s="2"/>
    </row>
    <row r="4" spans="1:25" ht="23.25">
      <c r="C4" s="2"/>
    </row>
    <row r="6" spans="1:25">
      <c r="E6" s="11" t="s">
        <v>17</v>
      </c>
      <c r="F6" s="11"/>
      <c r="G6" s="11"/>
      <c r="H6" s="11"/>
      <c r="I6" s="11"/>
      <c r="J6" s="11"/>
      <c r="K6" s="11"/>
    </row>
    <row r="7" spans="1:25" ht="12" customHeight="1">
      <c r="A7" s="1"/>
      <c r="C7" s="2"/>
      <c r="E7" s="11" t="s">
        <v>18</v>
      </c>
      <c r="F7" s="11"/>
      <c r="G7" s="11"/>
      <c r="H7" s="11"/>
      <c r="I7" s="11"/>
      <c r="J7" s="11"/>
      <c r="K7" s="11"/>
      <c r="Y7" s="12"/>
    </row>
    <row r="8" spans="1:25" ht="18" customHeight="1">
      <c r="A8" s="1"/>
      <c r="C8" s="2"/>
      <c r="E8" s="11" t="s">
        <v>19</v>
      </c>
      <c r="F8" s="11"/>
      <c r="G8" s="11"/>
      <c r="H8" s="11"/>
      <c r="I8" s="11"/>
      <c r="J8" s="11"/>
      <c r="K8" s="11"/>
    </row>
    <row r="9" spans="1:25" ht="18" customHeight="1">
      <c r="A9" s="1"/>
      <c r="C9" s="2"/>
      <c r="E9" s="8"/>
      <c r="F9" s="8"/>
      <c r="G9" s="8"/>
      <c r="H9" s="8"/>
      <c r="I9" s="8"/>
      <c r="J9" s="8"/>
      <c r="K9" s="8"/>
    </row>
    <row r="10" spans="1:25" ht="18" customHeight="1">
      <c r="A10" s="1"/>
      <c r="C10" s="2"/>
      <c r="E10" s="13" t="s">
        <v>54</v>
      </c>
      <c r="F10" s="8"/>
      <c r="G10" s="8"/>
      <c r="H10" s="8"/>
      <c r="I10" s="8"/>
      <c r="J10" s="8"/>
      <c r="K10" s="8"/>
    </row>
    <row r="11" spans="1:25" ht="21.75" customHeight="1">
      <c r="A11" s="1"/>
      <c r="C11" s="2"/>
      <c r="E11" s="13" t="s">
        <v>45</v>
      </c>
    </row>
    <row r="12" spans="1:25" ht="21.75" customHeight="1">
      <c r="A12" s="1"/>
      <c r="C12" s="2"/>
      <c r="E12" s="13" t="s">
        <v>21</v>
      </c>
    </row>
    <row r="13" spans="1:25" ht="21.75" customHeight="1">
      <c r="A13" s="1"/>
      <c r="C13" s="2"/>
      <c r="E13" s="13" t="s">
        <v>55</v>
      </c>
    </row>
    <row r="14" spans="1:25" ht="18" customHeight="1" thickBot="1">
      <c r="G14" s="4" t="s">
        <v>2</v>
      </c>
    </row>
    <row r="15" spans="1:25" ht="13.5" thickBot="1">
      <c r="D15" s="3" t="s">
        <v>6</v>
      </c>
      <c r="E15" s="3"/>
      <c r="F15" s="3"/>
      <c r="G15" s="45">
        <v>0.91500000000000004</v>
      </c>
      <c r="Q15" s="3"/>
    </row>
    <row r="16" spans="1:25" ht="19.5" customHeight="1" thickBot="1">
      <c r="D16" s="45">
        <v>0.8</v>
      </c>
      <c r="E16" s="4"/>
      <c r="F16" s="4"/>
      <c r="G16" s="46"/>
      <c r="H16" s="4"/>
      <c r="I16" s="4"/>
      <c r="J16" s="4"/>
      <c r="K16" s="4"/>
      <c r="L16" s="4"/>
      <c r="M16" s="4"/>
      <c r="N16" s="4"/>
      <c r="O16" s="4"/>
      <c r="P16" s="4"/>
      <c r="Q16" s="4"/>
      <c r="S16" s="39" t="s">
        <v>16</v>
      </c>
      <c r="T16" s="40"/>
      <c r="U16" s="41"/>
      <c r="V16" s="40"/>
      <c r="W16" s="42"/>
    </row>
    <row r="17" spans="1:23" ht="9" customHeight="1" thickBot="1">
      <c r="D17" s="46"/>
      <c r="E17" s="4"/>
      <c r="F17" s="4"/>
      <c r="H17" s="4"/>
      <c r="I17" s="4"/>
      <c r="J17" s="4"/>
      <c r="K17" s="4"/>
      <c r="L17" s="4"/>
      <c r="M17" s="4" t="s">
        <v>4</v>
      </c>
      <c r="N17" s="4"/>
      <c r="O17" s="4"/>
      <c r="P17" s="4" t="s">
        <v>5</v>
      </c>
      <c r="Q17" s="4"/>
      <c r="U17" s="52"/>
      <c r="V17" s="3"/>
      <c r="W17" s="3"/>
    </row>
    <row r="18" spans="1:23">
      <c r="D18" s="4"/>
      <c r="E18" s="4"/>
      <c r="F18" s="4"/>
      <c r="H18" s="4"/>
      <c r="I18" s="4"/>
      <c r="J18" s="4"/>
      <c r="K18" s="4"/>
      <c r="L18" s="4"/>
      <c r="M18" s="45">
        <v>0.79800000000000004</v>
      </c>
      <c r="N18" s="4"/>
      <c r="O18" s="4"/>
      <c r="P18" s="45">
        <v>0.76600000000000001</v>
      </c>
      <c r="Q18" s="4"/>
      <c r="U18" s="53"/>
      <c r="V18" s="3"/>
      <c r="W18" s="3"/>
    </row>
    <row r="19" spans="1:23" ht="13.5" thickBot="1">
      <c r="D19" s="4" t="s">
        <v>7</v>
      </c>
      <c r="E19" s="4"/>
      <c r="F19" s="4"/>
      <c r="H19" s="4"/>
      <c r="I19" s="4"/>
      <c r="J19" s="4"/>
      <c r="K19" s="4"/>
      <c r="L19" s="4"/>
      <c r="M19" s="46"/>
      <c r="N19" s="4"/>
      <c r="O19" s="4"/>
      <c r="P19" s="46"/>
      <c r="Q19" s="4"/>
      <c r="U19" s="53"/>
      <c r="V19" s="3"/>
      <c r="W19" s="3"/>
    </row>
    <row r="20" spans="1:23" ht="13.5" thickBot="1">
      <c r="D20" s="45">
        <v>0.875</v>
      </c>
      <c r="E20" s="4"/>
      <c r="F20" s="4"/>
      <c r="G20" s="4" t="s">
        <v>3</v>
      </c>
      <c r="H20" s="4"/>
      <c r="I20" s="4"/>
      <c r="K20" s="4"/>
      <c r="L20" s="4"/>
      <c r="M20" s="4"/>
      <c r="N20" s="4"/>
      <c r="O20" s="4"/>
      <c r="P20" s="4"/>
      <c r="Q20" s="4"/>
      <c r="U20" s="54"/>
    </row>
    <row r="21" spans="1:23" ht="13.5" thickBot="1">
      <c r="D21" s="46"/>
      <c r="E21" s="4"/>
      <c r="F21" s="4"/>
      <c r="G21" s="45">
        <v>0.63400000000000001</v>
      </c>
      <c r="H21" s="4"/>
      <c r="I21" s="4"/>
      <c r="J21" s="4"/>
      <c r="K21" s="4"/>
      <c r="L21" s="4"/>
      <c r="M21" s="4"/>
      <c r="N21" s="4"/>
      <c r="O21" s="38" t="s">
        <v>12</v>
      </c>
      <c r="P21" s="38"/>
      <c r="Q21" s="4"/>
      <c r="W21" s="10" t="s">
        <v>13</v>
      </c>
    </row>
    <row r="22" spans="1:23" ht="34.5" customHeight="1" thickBot="1">
      <c r="G22" s="46"/>
      <c r="O22" s="47">
        <v>1000</v>
      </c>
      <c r="P22" s="48"/>
      <c r="U22" s="51" t="s">
        <v>53</v>
      </c>
      <c r="W22" s="43">
        <v>44</v>
      </c>
    </row>
    <row r="23" spans="1:23">
      <c r="E23" t="s">
        <v>8</v>
      </c>
      <c r="O23" s="49"/>
      <c r="P23" s="50"/>
      <c r="U23" s="51"/>
      <c r="W23" s="44"/>
    </row>
    <row r="24" spans="1:23">
      <c r="S24" s="3"/>
      <c r="T24" s="3"/>
      <c r="U24" s="3"/>
    </row>
    <row r="25" spans="1:23" ht="24.95" customHeight="1">
      <c r="B25" s="38" t="s">
        <v>14</v>
      </c>
      <c r="C25" s="38"/>
      <c r="E25" t="s">
        <v>15</v>
      </c>
      <c r="R25" s="14" t="s">
        <v>10</v>
      </c>
      <c r="S25" s="14" t="s">
        <v>9</v>
      </c>
      <c r="T25" s="14"/>
      <c r="U25" s="16" t="s">
        <v>20</v>
      </c>
      <c r="V25" s="14"/>
      <c r="W25" s="14" t="s">
        <v>11</v>
      </c>
    </row>
    <row r="26" spans="1:23" ht="26.25" customHeight="1">
      <c r="A26" t="s">
        <v>0</v>
      </c>
      <c r="B26" s="5">
        <v>2</v>
      </c>
      <c r="C26" s="5">
        <v>3</v>
      </c>
      <c r="D26" s="5">
        <v>5</v>
      </c>
      <c r="E26" s="5">
        <v>1</v>
      </c>
      <c r="F26" s="5">
        <v>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6"/>
      <c r="R26" s="7">
        <f>COUNT(B26:Q26)</f>
        <v>5</v>
      </c>
      <c r="S26" s="9">
        <f>($O$22-SUM(B26:Q26))/R26</f>
        <v>197.6</v>
      </c>
      <c r="T26" s="8"/>
      <c r="U26" s="7">
        <f>1/S26</f>
        <v>5.0607287449392713E-3</v>
      </c>
      <c r="V26" s="4"/>
      <c r="W26" s="37">
        <f>EXP(-U26*$W$22)</f>
        <v>0.80037727816330373</v>
      </c>
    </row>
    <row r="27" spans="1:23" ht="26.25" customHeight="1">
      <c r="A27" t="s">
        <v>1</v>
      </c>
      <c r="B27" s="5">
        <v>1</v>
      </c>
      <c r="C27" s="5">
        <v>8</v>
      </c>
      <c r="D27" s="5">
        <v>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  <c r="R27" s="7"/>
      <c r="S27" s="9"/>
      <c r="T27" s="8"/>
      <c r="U27" s="7"/>
      <c r="V27" s="4"/>
      <c r="W27" s="37"/>
    </row>
    <row r="28" spans="1:23" ht="26.25" customHeight="1">
      <c r="A28" t="s">
        <v>2</v>
      </c>
      <c r="B28" s="5">
        <v>4</v>
      </c>
      <c r="C28" s="5">
        <v>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6"/>
      <c r="R28" s="7"/>
      <c r="S28" s="9"/>
      <c r="T28" s="8"/>
      <c r="U28" s="7"/>
      <c r="V28" s="4"/>
      <c r="W28" s="37"/>
    </row>
    <row r="29" spans="1:23" ht="26.25" customHeight="1">
      <c r="A29" t="s">
        <v>3</v>
      </c>
      <c r="B29" s="5">
        <v>6</v>
      </c>
      <c r="C29" s="5">
        <v>3</v>
      </c>
      <c r="D29" s="5">
        <v>3</v>
      </c>
      <c r="E29" s="5">
        <v>3</v>
      </c>
      <c r="F29" s="5">
        <v>3</v>
      </c>
      <c r="G29" s="5">
        <v>3</v>
      </c>
      <c r="H29" s="5">
        <v>3</v>
      </c>
      <c r="I29" s="5">
        <v>3</v>
      </c>
      <c r="J29" s="5">
        <v>3</v>
      </c>
      <c r="K29" s="5">
        <v>3</v>
      </c>
      <c r="L29" s="5"/>
      <c r="M29" s="5"/>
      <c r="N29" s="5"/>
      <c r="O29" s="5"/>
      <c r="P29" s="5"/>
      <c r="Q29" s="6"/>
      <c r="R29" s="7"/>
      <c r="S29" s="9"/>
      <c r="T29" s="8"/>
      <c r="U29" s="7"/>
      <c r="V29" s="4"/>
      <c r="W29" s="37"/>
    </row>
    <row r="30" spans="1:23" ht="26.25" customHeight="1">
      <c r="A30" t="s">
        <v>4</v>
      </c>
      <c r="B30" s="5">
        <v>3</v>
      </c>
      <c r="C30" s="5">
        <v>2</v>
      </c>
      <c r="D30" s="5">
        <v>3</v>
      </c>
      <c r="E30" s="5">
        <v>4</v>
      </c>
      <c r="F30" s="5">
        <v>12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  <c r="R30" s="7"/>
      <c r="S30" s="9"/>
      <c r="T30" s="8"/>
      <c r="U30" s="7"/>
      <c r="V30" s="4"/>
      <c r="W30" s="37"/>
    </row>
    <row r="31" spans="1:23" ht="26.25" customHeight="1">
      <c r="A31" t="s">
        <v>5</v>
      </c>
      <c r="B31" s="5">
        <v>2</v>
      </c>
      <c r="C31" s="5">
        <v>1</v>
      </c>
      <c r="D31" s="5">
        <v>2</v>
      </c>
      <c r="E31" s="5">
        <v>3</v>
      </c>
      <c r="F31" s="5">
        <v>2</v>
      </c>
      <c r="G31" s="5">
        <v>1</v>
      </c>
      <c r="H31" s="5"/>
      <c r="I31" s="5"/>
      <c r="J31" s="5"/>
      <c r="K31" s="5"/>
      <c r="L31" s="5"/>
      <c r="M31" s="5"/>
      <c r="N31" s="5"/>
      <c r="O31" s="5"/>
      <c r="P31" s="5"/>
      <c r="Q31" s="6"/>
      <c r="R31" s="7"/>
      <c r="S31" s="9"/>
      <c r="T31" s="8"/>
      <c r="U31" s="7"/>
      <c r="V31" s="4"/>
      <c r="W31" s="37"/>
    </row>
  </sheetData>
  <mergeCells count="13">
    <mergeCell ref="B25:C25"/>
    <mergeCell ref="S16:W16"/>
    <mergeCell ref="W22:W23"/>
    <mergeCell ref="M18:M19"/>
    <mergeCell ref="P18:P19"/>
    <mergeCell ref="O22:P23"/>
    <mergeCell ref="U22:U23"/>
    <mergeCell ref="O21:P21"/>
    <mergeCell ref="U17:U20"/>
    <mergeCell ref="D16:D17"/>
    <mergeCell ref="D20:D21"/>
    <mergeCell ref="G15:G16"/>
    <mergeCell ref="G21:G22"/>
  </mergeCells>
  <pageMargins left="0.78740157499999996" right="0.78740157499999996" top="0.984251969" bottom="0.984251969" header="0.4921259845" footer="0.4921259845"/>
  <pageSetup paperSize="9" scale="9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D3F8-DAD5-4161-B9AE-7FDDF986D563}">
  <dimension ref="B2:L40"/>
  <sheetViews>
    <sheetView tabSelected="1" workbookViewId="0">
      <selection activeCell="J13" sqref="J13"/>
    </sheetView>
  </sheetViews>
  <sheetFormatPr baseColWidth="10" defaultRowHeight="12.75"/>
  <cols>
    <col min="3" max="3" width="13.5703125" customWidth="1"/>
    <col min="4" max="4" width="16.5703125" customWidth="1"/>
    <col min="7" max="7" width="15.7109375" customWidth="1"/>
    <col min="14" max="14" width="14.5703125" customWidth="1"/>
  </cols>
  <sheetData>
    <row r="2" spans="2:12" ht="15.75">
      <c r="B2" s="24" t="s">
        <v>22</v>
      </c>
    </row>
    <row r="5" spans="2:12">
      <c r="B5" s="17" t="s">
        <v>23</v>
      </c>
    </row>
    <row r="7" spans="2:12" s="15" customFormat="1" ht="31.5" customHeight="1">
      <c r="B7" s="21" t="s">
        <v>25</v>
      </c>
      <c r="C7" s="33" t="s">
        <v>26</v>
      </c>
      <c r="D7" s="32"/>
      <c r="E7" s="21" t="s">
        <v>11</v>
      </c>
      <c r="F7" s="21" t="s">
        <v>27</v>
      </c>
      <c r="G7" s="21" t="s">
        <v>28</v>
      </c>
      <c r="J7" s="15" t="s">
        <v>51</v>
      </c>
    </row>
    <row r="8" spans="2:12" ht="15">
      <c r="B8" s="18">
        <v>1</v>
      </c>
      <c r="C8" s="18">
        <v>30</v>
      </c>
      <c r="D8" s="20"/>
      <c r="E8" s="20"/>
      <c r="F8" s="22"/>
      <c r="G8" s="22"/>
      <c r="K8" s="36" t="s">
        <v>52</v>
      </c>
      <c r="L8" s="15"/>
    </row>
    <row r="9" spans="2:12">
      <c r="B9" s="18">
        <v>2</v>
      </c>
      <c r="C9" s="18">
        <v>45</v>
      </c>
      <c r="D9" s="20"/>
      <c r="E9" s="20"/>
      <c r="F9" s="22"/>
      <c r="G9" s="22"/>
      <c r="K9" s="15"/>
    </row>
    <row r="10" spans="2:12">
      <c r="B10" s="18">
        <v>3</v>
      </c>
      <c r="C10" s="18">
        <v>58</v>
      </c>
      <c r="D10" s="20"/>
      <c r="E10" s="20"/>
      <c r="F10" s="22"/>
      <c r="G10" s="22"/>
    </row>
    <row r="11" spans="2:12">
      <c r="B11" s="18">
        <v>4</v>
      </c>
      <c r="C11" s="18">
        <v>70</v>
      </c>
      <c r="D11" s="20"/>
      <c r="E11" s="20"/>
      <c r="F11" s="22"/>
      <c r="G11" s="22"/>
    </row>
    <row r="12" spans="2:12">
      <c r="B12" s="18">
        <v>5</v>
      </c>
      <c r="C12" s="18">
        <v>83</v>
      </c>
      <c r="D12" s="20"/>
      <c r="E12" s="20"/>
      <c r="F12" s="22"/>
      <c r="G12" s="22"/>
    </row>
    <row r="13" spans="2:12">
      <c r="B13" s="18">
        <v>6</v>
      </c>
      <c r="C13" s="18">
        <v>96</v>
      </c>
      <c r="D13" s="20"/>
      <c r="E13" s="20"/>
      <c r="F13" s="22"/>
      <c r="G13" s="22"/>
    </row>
    <row r="14" spans="2:12">
      <c r="B14" s="18">
        <v>7</v>
      </c>
      <c r="C14" s="18">
        <v>110</v>
      </c>
      <c r="D14" s="20"/>
      <c r="E14" s="20"/>
      <c r="F14" s="22"/>
      <c r="G14" s="22"/>
    </row>
    <row r="15" spans="2:12">
      <c r="B15" s="18">
        <v>8</v>
      </c>
      <c r="C15" s="18">
        <v>126</v>
      </c>
      <c r="D15" s="20"/>
      <c r="E15" s="20"/>
      <c r="F15" s="22"/>
      <c r="G15" s="22"/>
      <c r="K15" s="15"/>
    </row>
    <row r="16" spans="2:12">
      <c r="B16" s="18">
        <v>9</v>
      </c>
      <c r="C16" s="18">
        <v>147</v>
      </c>
      <c r="D16" s="20"/>
      <c r="E16" s="20"/>
      <c r="F16" s="23"/>
      <c r="G16" s="23"/>
    </row>
    <row r="17" spans="2:7">
      <c r="B17" s="18">
        <v>10</v>
      </c>
      <c r="C17" s="18">
        <v>177</v>
      </c>
      <c r="D17" s="20"/>
      <c r="E17" s="20"/>
      <c r="F17" s="22"/>
      <c r="G17" s="22"/>
    </row>
    <row r="20" spans="2:7" ht="15">
      <c r="B20" s="19" t="s">
        <v>47</v>
      </c>
    </row>
    <row r="21" spans="2:7" ht="15">
      <c r="B21" s="19"/>
    </row>
    <row r="22" spans="2:7" ht="15">
      <c r="B22" s="19"/>
    </row>
    <row r="25" spans="2:7" ht="15">
      <c r="B25" s="19" t="s">
        <v>48</v>
      </c>
    </row>
    <row r="26" spans="2:7" ht="15">
      <c r="B26" s="19"/>
    </row>
    <row r="27" spans="2:7" ht="15">
      <c r="B27" s="19"/>
    </row>
    <row r="28" spans="2:7" ht="15">
      <c r="B28" s="19"/>
    </row>
    <row r="29" spans="2:7" ht="15">
      <c r="B29" s="19"/>
    </row>
    <row r="30" spans="2:7" ht="15">
      <c r="B30" s="19"/>
    </row>
    <row r="32" spans="2:7" ht="15">
      <c r="B32" s="19" t="s">
        <v>29</v>
      </c>
    </row>
    <row r="37" spans="2:2" ht="15">
      <c r="B37" s="19" t="s">
        <v>46</v>
      </c>
    </row>
    <row r="40" spans="2:2" ht="15">
      <c r="B40" s="19" t="s">
        <v>56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E6C2-B014-4ABB-BEA6-6B5DA3345DE7}">
  <dimension ref="A8:J40"/>
  <sheetViews>
    <sheetView zoomScale="110" zoomScaleNormal="110" workbookViewId="0">
      <selection activeCell="H10" sqref="H10"/>
    </sheetView>
  </sheetViews>
  <sheetFormatPr baseColWidth="10" defaultRowHeight="12.75"/>
  <cols>
    <col min="6" max="6" width="17" customWidth="1"/>
    <col min="7" max="7" width="6.85546875" customWidth="1"/>
    <col min="10" max="10" width="5.28515625" customWidth="1"/>
  </cols>
  <sheetData>
    <row r="8" spans="1:10" ht="18">
      <c r="F8" s="27" t="s">
        <v>37</v>
      </c>
      <c r="G8" s="28">
        <v>0</v>
      </c>
    </row>
    <row r="9" spans="1:10">
      <c r="A9" s="25" t="s">
        <v>32</v>
      </c>
      <c r="B9" s="25" t="s">
        <v>26</v>
      </c>
      <c r="C9" s="25" t="s">
        <v>24</v>
      </c>
      <c r="D9" s="25" t="s">
        <v>11</v>
      </c>
      <c r="E9" s="25" t="s">
        <v>30</v>
      </c>
      <c r="F9" s="26" t="s">
        <v>31</v>
      </c>
    </row>
    <row r="10" spans="1:10">
      <c r="A10" s="22">
        <v>1</v>
      </c>
      <c r="B10" s="18">
        <v>570</v>
      </c>
      <c r="C10" s="29"/>
      <c r="D10" s="30"/>
      <c r="E10" s="18"/>
      <c r="F10" s="18"/>
      <c r="H10" s="17" t="s">
        <v>58</v>
      </c>
    </row>
    <row r="11" spans="1:10">
      <c r="A11" s="22">
        <v>2</v>
      </c>
      <c r="B11" s="18">
        <v>600</v>
      </c>
      <c r="C11" s="29"/>
      <c r="D11" s="30"/>
      <c r="E11" s="18"/>
      <c r="F11" s="18"/>
      <c r="H11" s="17" t="s">
        <v>43</v>
      </c>
    </row>
    <row r="12" spans="1:10">
      <c r="A12" s="22">
        <v>3</v>
      </c>
      <c r="B12" s="18">
        <v>640</v>
      </c>
      <c r="C12" s="29"/>
      <c r="D12" s="30"/>
      <c r="E12" s="18"/>
      <c r="F12" s="18"/>
      <c r="H12" s="17" t="s">
        <v>38</v>
      </c>
    </row>
    <row r="13" spans="1:10">
      <c r="A13" s="22">
        <v>4</v>
      </c>
      <c r="B13" s="18">
        <v>670</v>
      </c>
      <c r="C13" s="29"/>
      <c r="D13" s="30"/>
      <c r="E13" s="18"/>
      <c r="F13" s="18"/>
      <c r="H13" s="17"/>
      <c r="I13" s="17"/>
      <c r="J13" s="17"/>
    </row>
    <row r="14" spans="1:10">
      <c r="A14" s="22">
        <v>5</v>
      </c>
      <c r="B14" s="18">
        <v>700</v>
      </c>
      <c r="C14" s="29"/>
      <c r="D14" s="30"/>
      <c r="E14" s="18"/>
      <c r="F14" s="18"/>
      <c r="H14" s="17"/>
      <c r="I14" s="17"/>
      <c r="J14" s="17"/>
    </row>
    <row r="15" spans="1:10">
      <c r="A15" s="22">
        <v>6</v>
      </c>
      <c r="B15" s="18">
        <v>730</v>
      </c>
      <c r="C15" s="29"/>
      <c r="D15" s="30"/>
      <c r="E15" s="18"/>
      <c r="F15" s="18"/>
      <c r="H15" s="17"/>
      <c r="I15" s="17" t="s">
        <v>44</v>
      </c>
      <c r="J15" s="17"/>
    </row>
    <row r="16" spans="1:10">
      <c r="A16" s="22">
        <v>7</v>
      </c>
      <c r="B16" s="18">
        <v>770</v>
      </c>
      <c r="C16" s="29"/>
      <c r="D16" s="30"/>
      <c r="E16" s="18"/>
      <c r="F16" s="18"/>
      <c r="H16" s="17"/>
      <c r="I16" s="17"/>
      <c r="J16" s="17" t="s">
        <v>33</v>
      </c>
    </row>
    <row r="17" spans="1:10">
      <c r="A17" s="22">
        <v>8</v>
      </c>
      <c r="B17" s="18">
        <v>800</v>
      </c>
      <c r="C17" s="29"/>
      <c r="D17" s="30"/>
      <c r="E17" s="18"/>
      <c r="F17" s="18"/>
      <c r="H17" s="17"/>
      <c r="I17" s="17"/>
      <c r="J17" s="17" t="s">
        <v>34</v>
      </c>
    </row>
    <row r="18" spans="1:10">
      <c r="A18" s="22">
        <v>9</v>
      </c>
      <c r="B18" s="18">
        <v>830</v>
      </c>
      <c r="C18" s="29"/>
      <c r="D18" s="30"/>
      <c r="E18" s="18"/>
      <c r="F18" s="18"/>
      <c r="H18" s="17"/>
      <c r="I18" s="17"/>
      <c r="J18" s="17" t="s">
        <v>35</v>
      </c>
    </row>
    <row r="19" spans="1:10">
      <c r="A19" s="22">
        <v>10</v>
      </c>
      <c r="B19" s="18">
        <v>870</v>
      </c>
      <c r="C19" s="29"/>
      <c r="D19" s="30"/>
      <c r="E19" s="18"/>
      <c r="F19" s="18"/>
      <c r="H19" s="17"/>
      <c r="I19" s="17"/>
      <c r="J19" s="17" t="s">
        <v>40</v>
      </c>
    </row>
    <row r="20" spans="1:10">
      <c r="A20" s="22">
        <v>11</v>
      </c>
      <c r="B20" s="18">
        <v>900</v>
      </c>
      <c r="C20" s="29"/>
      <c r="D20" s="30"/>
      <c r="E20" s="18"/>
      <c r="F20" s="18"/>
      <c r="H20" s="17"/>
    </row>
    <row r="21" spans="1:10">
      <c r="A21" s="22">
        <v>12</v>
      </c>
      <c r="B21" s="18">
        <v>930</v>
      </c>
      <c r="C21" s="29"/>
      <c r="D21" s="30"/>
      <c r="E21" s="18"/>
      <c r="F21" s="18"/>
      <c r="H21" s="17" t="s">
        <v>39</v>
      </c>
    </row>
    <row r="22" spans="1:10">
      <c r="A22" s="22">
        <v>13</v>
      </c>
      <c r="B22" s="18">
        <v>960</v>
      </c>
      <c r="C22" s="29"/>
      <c r="D22" s="30"/>
      <c r="E22" s="18"/>
      <c r="F22" s="18"/>
      <c r="H22" s="17" t="s">
        <v>36</v>
      </c>
    </row>
    <row r="23" spans="1:10">
      <c r="A23" s="22">
        <v>14</v>
      </c>
      <c r="B23" s="18">
        <v>1000</v>
      </c>
      <c r="C23" s="29"/>
      <c r="D23" s="30"/>
      <c r="E23" s="18"/>
      <c r="F23" s="18"/>
    </row>
    <row r="24" spans="1:10">
      <c r="A24" s="22">
        <v>15</v>
      </c>
      <c r="B24" s="18">
        <v>1050</v>
      </c>
      <c r="C24" s="29"/>
      <c r="D24" s="30"/>
      <c r="E24" s="18"/>
      <c r="F24" s="18"/>
      <c r="H24" s="17" t="s">
        <v>49</v>
      </c>
    </row>
    <row r="25" spans="1:10">
      <c r="A25" s="22">
        <v>16</v>
      </c>
      <c r="B25" s="18">
        <v>1100</v>
      </c>
      <c r="C25" s="29"/>
      <c r="D25" s="30"/>
      <c r="E25" s="18"/>
      <c r="F25" s="18"/>
    </row>
    <row r="26" spans="1:10">
      <c r="A26" s="22">
        <v>17</v>
      </c>
      <c r="B26" s="18">
        <v>1150</v>
      </c>
      <c r="C26" s="29"/>
      <c r="D26" s="30"/>
      <c r="E26" s="18"/>
      <c r="F26" s="18"/>
      <c r="H26" s="17" t="s">
        <v>57</v>
      </c>
    </row>
    <row r="27" spans="1:10">
      <c r="A27" s="22">
        <v>18</v>
      </c>
      <c r="B27" s="18">
        <v>1220</v>
      </c>
      <c r="C27" s="29"/>
      <c r="D27" s="30"/>
      <c r="E27" s="18"/>
      <c r="F27" s="18"/>
    </row>
    <row r="28" spans="1:10">
      <c r="A28" s="22">
        <v>19</v>
      </c>
      <c r="B28" s="18">
        <v>1280</v>
      </c>
      <c r="C28" s="29"/>
      <c r="D28" s="30"/>
      <c r="E28" s="18"/>
      <c r="F28" s="18"/>
    </row>
    <row r="29" spans="1:10">
      <c r="A29" s="22">
        <v>20</v>
      </c>
      <c r="B29" s="18">
        <v>1380</v>
      </c>
      <c r="C29" s="29"/>
      <c r="D29" s="30"/>
      <c r="E29" s="18"/>
      <c r="F29" s="18"/>
    </row>
    <row r="30" spans="1:10">
      <c r="A30" s="22">
        <v>21</v>
      </c>
      <c r="B30" s="18">
        <v>1570</v>
      </c>
      <c r="C30" s="29"/>
      <c r="D30" s="30"/>
      <c r="E30" s="18"/>
      <c r="F30" s="18"/>
    </row>
    <row r="32" spans="1:10" ht="15.75">
      <c r="D32" s="34" t="s">
        <v>41</v>
      </c>
      <c r="E32" s="35" t="s">
        <v>41</v>
      </c>
    </row>
    <row r="33" spans="4:5">
      <c r="D33" s="31" t="e">
        <f t="array" ref="D33:E33">LINEST(E10:E30,F10:F30,TRUE)</f>
        <v>#VALUE!</v>
      </c>
      <c r="E33" s="31" t="e">
        <v>#VALUE!</v>
      </c>
    </row>
    <row r="36" spans="4:5" ht="15.75">
      <c r="D36" s="34" t="s">
        <v>50</v>
      </c>
      <c r="E36" s="22"/>
    </row>
    <row r="40" spans="4:5">
      <c r="D40" s="22" t="s">
        <v>42</v>
      </c>
      <c r="E40" s="22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Fiabilité  d'une ligne</vt:lpstr>
      <vt:lpstr>Etude la remplisseuse</vt:lpstr>
      <vt:lpstr>Cas  Gamma non nul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s.jaubert@cfai-centre.org</dc:creator>
  <cp:lastModifiedBy>Stéphane JAUBERT</cp:lastModifiedBy>
  <cp:lastPrinted>2005-05-02T12:23:04Z</cp:lastPrinted>
  <dcterms:created xsi:type="dcterms:W3CDTF">2005-05-02T11:39:54Z</dcterms:created>
  <dcterms:modified xsi:type="dcterms:W3CDTF">2024-09-27T06:34:24Z</dcterms:modified>
</cp:coreProperties>
</file>