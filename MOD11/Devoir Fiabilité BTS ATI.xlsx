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faicentre-my.sharepoint.com/personal/s_jaubert_poleformation-uimmcvdl_fr/Documents/Bachelor/Fiabilité/"/>
    </mc:Choice>
  </mc:AlternateContent>
  <xr:revisionPtr revIDLastSave="14" documentId="11_C0312431463AA6C796FFE8A412439F51151269D8" xr6:coauthVersionLast="47" xr6:coauthVersionMax="47" xr10:uidLastSave="{3921CA92-71A4-4E17-9C23-C9C7BCE0DFD0}"/>
  <bookViews>
    <workbookView xWindow="-120" yWindow="-120" windowWidth="29040" windowHeight="15720" tabRatio="500" firstSheet="1" activeTab="4" xr2:uid="{00000000-000D-0000-FFFF-FFFF00000000}"/>
  </bookViews>
  <sheets>
    <sheet name="Page de garde" sheetId="1" r:id="rId1"/>
    <sheet name="Partie A – Diagramme &amp; Empirie" sheetId="2" r:id="rId2"/>
    <sheet name="Partie B – Weibull Ellistat" sheetId="3" r:id="rId3"/>
    <sheet name="Données Weibull" sheetId="4" r:id="rId4"/>
    <sheet name="Partie C – Périodicité optimale" sheetId="5" r:id="rId5"/>
    <sheet name="CORRIGÉ – Réservé prof"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8" i="6" l="1"/>
  <c r="E17" i="6"/>
  <c r="E16" i="6"/>
  <c r="E15" i="6"/>
  <c r="E14" i="6"/>
  <c r="F13" i="6"/>
  <c r="F14" i="6" s="1"/>
  <c r="E13" i="6"/>
  <c r="G12" i="6"/>
  <c r="E12" i="6"/>
  <c r="B7" i="6"/>
  <c r="C35" i="5"/>
  <c r="D35" i="5" s="1"/>
  <c r="C34" i="5"/>
  <c r="C33" i="5"/>
  <c r="C32" i="5"/>
  <c r="C31" i="5"/>
  <c r="C30" i="5"/>
  <c r="C29" i="5"/>
  <c r="C28" i="5"/>
  <c r="F27" i="5"/>
  <c r="D27" i="5"/>
  <c r="C27" i="5"/>
  <c r="E27" i="5" s="1"/>
  <c r="D26" i="5"/>
  <c r="F26" i="5" s="1"/>
  <c r="G26" i="5" s="1"/>
  <c r="C26" i="5"/>
  <c r="E26" i="5" s="1"/>
  <c r="C25" i="5"/>
  <c r="D25" i="5" s="1"/>
  <c r="C24" i="5"/>
  <c r="C23" i="5"/>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G14" i="6" l="1"/>
  <c r="F15" i="6"/>
  <c r="E30" i="5"/>
  <c r="G27" i="5"/>
  <c r="F28" i="5"/>
  <c r="G28" i="5" s="1"/>
  <c r="F29" i="5"/>
  <c r="G29" i="5" s="1"/>
  <c r="F31" i="5"/>
  <c r="F24" i="5"/>
  <c r="G24" i="5" s="1"/>
  <c r="F33" i="5"/>
  <c r="G33" i="5" s="1"/>
  <c r="D30" i="5"/>
  <c r="F30" i="5" s="1"/>
  <c r="G30" i="5" s="1"/>
  <c r="E35" i="5"/>
  <c r="E25" i="5"/>
  <c r="D23" i="5"/>
  <c r="F23" i="5" s="1"/>
  <c r="G23" i="5" s="1"/>
  <c r="F25" i="5"/>
  <c r="E23" i="5"/>
  <c r="D28" i="5"/>
  <c r="E28" i="5"/>
  <c r="D33" i="5"/>
  <c r="F35" i="5"/>
  <c r="G35" i="5" s="1"/>
  <c r="E33" i="5"/>
  <c r="D31" i="5"/>
  <c r="E31" i="5" s="1"/>
  <c r="E24" i="5"/>
  <c r="D29" i="5"/>
  <c r="D24" i="5"/>
  <c r="E29" i="5"/>
  <c r="D34" i="5"/>
  <c r="F34" i="5" s="1"/>
  <c r="G34" i="5" s="1"/>
  <c r="E34" i="5"/>
  <c r="D32" i="5"/>
  <c r="F32" i="5" s="1"/>
  <c r="G13" i="6"/>
  <c r="E32" i="5" l="1"/>
  <c r="G32" i="5" s="1"/>
  <c r="G25" i="5"/>
  <c r="F16" i="6"/>
  <c r="G15" i="6"/>
  <c r="G31" i="5"/>
  <c r="F17" i="6" l="1"/>
  <c r="G16" i="6"/>
  <c r="F18" i="6" l="1"/>
  <c r="G18" i="6" s="1"/>
  <c r="G17" i="6"/>
</calcChain>
</file>

<file path=xl/sharedStrings.xml><?xml version="1.0" encoding="utf-8"?>
<sst xmlns="http://schemas.openxmlformats.org/spreadsheetml/2006/main" count="208" uniqueCount="183">
  <si>
    <t>ÉVALUATION DE FIABILITÉ</t>
  </si>
  <si>
    <t>Analyse de fiabilité d'une ligne de conditionnement pharmaceutique</t>
  </si>
  <si>
    <t>Formation</t>
  </si>
  <si>
    <t>BTS Assistance Technique d'Ingénieur (ATI)</t>
  </si>
  <si>
    <t>Durée</t>
  </si>
  <si>
    <t>2 heures</t>
  </si>
  <si>
    <t>Barème</t>
  </si>
  <si>
    <t>40 points</t>
  </si>
  <si>
    <t>Documents</t>
  </si>
  <si>
    <t>Cours autorisé – Logiciel Ellistat autorisé</t>
  </si>
  <si>
    <t>Calculatrice</t>
  </si>
  <si>
    <t>Autorisée</t>
  </si>
  <si>
    <t>Consignes</t>
  </si>
  <si>
    <t>Rendre ce fichier Excel complété par email à l'enseignant</t>
  </si>
  <si>
    <t>IDENTIFICATION DE L'ÉTUDIANT(E)</t>
  </si>
  <si>
    <t>Nom :</t>
  </si>
  <si>
    <t>Prénom :</t>
  </si>
  <si>
    <t>Groupe :</t>
  </si>
  <si>
    <t>Date :</t>
  </si>
  <si>
    <t>MISE EN SITUATION INDUSTRIELLE</t>
  </si>
  <si>
    <t>La société PHARMEX SA exploite une unité de production de médicaments en comprimés (site de Saint-Étienne, 250 salariés). La ligne L3 assure le conditionnement en blisters et boîtes de 3 médicaments différents, avec un taux d'utilisation élevé (4 800 h/an en 3×8). Le responsable maintenance souhaite optimiser la politique de maintenance préventive en s'appuyant sur une étude de fiabilité approfondie.
Ce devoir comporte TROIS PARTIES indépendantes (vous pouvez les traiter dans l'ordre de votre choix) :
  • Partie A  (12 pts) – Étude empirique et diagramme de fiabilité du système
  • Partie B  (16 pts) – Modélisation par la loi de Weibull (avec Ellistat)
  • Partie C  (12 pts) – Optimisation de la périodicité de maintenance préventive</t>
  </si>
  <si>
    <t>PARTIE A – DIAGRAMME DE FIABILITÉ &amp; ÉTUDE EMPIRIQUE  (12 points)</t>
  </si>
  <si>
    <t>Contexte : La ligne L3 de conditionnement comprend les sous-ensembles suivants :
  – Un poste de formage de blisters (PFB)
  – Deux têtes de remplissage en parallèle (TR1 et TR2) – le poste fonctionne si AU MOINS UNE tête est opérationnelle
  – Un poste de thermosoudage (PTS) en série avec les précédents
  – Un poste d'étiquetage (PET) en série
La ligne fonctionne si TOUS les postes en série sont opérationnels et si au moins une tête de remplissage fonctionne.</t>
  </si>
  <si>
    <t>A1 – Calcul de la fiabilité du système  (5 points)</t>
  </si>
  <si>
    <t>Données de fiabilité des composants à t = 1 000 h :</t>
  </si>
  <si>
    <t>Composant</t>
  </si>
  <si>
    <t>Désignation</t>
  </si>
  <si>
    <t>R(1000h)</t>
  </si>
  <si>
    <t>PFB</t>
  </si>
  <si>
    <t>Poste formage blisters</t>
  </si>
  <si>
    <t>TR1</t>
  </si>
  <si>
    <t>Tête de remplissage 1</t>
  </si>
  <si>
    <t>TR2</t>
  </si>
  <si>
    <t>Tête de remplissage 2</t>
  </si>
  <si>
    <t>PTS</t>
  </si>
  <si>
    <t>Poste thermosoudage</t>
  </si>
  <si>
    <t>PET</t>
  </si>
  <si>
    <t>Poste étiquetage</t>
  </si>
  <si>
    <t>Travail demandé :</t>
  </si>
  <si>
    <t>A1.1</t>
  </si>
  <si>
    <t>Représenter le diagramme de fiabilité (bloc-diagramme) de la ligne L3 dans la zone prévue ci-dessous. Indiquer clairement les associations série/parallèle.  (2 pts)</t>
  </si>
  <si>
    <t>A1.2</t>
  </si>
  <si>
    <t>Exprimer la fonction de fiabilité R_sys(t) du système en fonction de R_PFB, R_TR1, R_TR2, R_PTS, R_PET.  (1 pt)</t>
  </si>
  <si>
    <t>A1.3</t>
  </si>
  <si>
    <t>Calculer numériquement R_sys(1000 h) à partir des données du tableau.  (2 pts)</t>
  </si>
  <si>
    <t>Zone réservée au dessin du diagramme de fiabilité (Bloc-Diagramme)</t>
  </si>
  <si>
    <t>A2 – Étude empirique du taux de défaillance de la têtes de remplissage TR1  (7 points)</t>
  </si>
  <si>
    <t>Sur les 3 dernières années, le service maintenance a suivi 20 têtes de remplissage TR1 identiques, mises en service simultanément. Les durées de fonctionnement avant défaillance (TBF en heures) ont été relevées. Le tableau ci-dessous présente le nombre de défaillances observées par intervalle de 500 h.</t>
  </si>
  <si>
    <t>Intervalle ∆t (h)</t>
  </si>
  <si>
    <t>Nbre défaillances
Δni</t>
  </si>
  <si>
    <t>Nbre survivants
début ∆t  ni</t>
  </si>
  <si>
    <t>Taux de défaillance
λ(t) (déf/h)</t>
  </si>
  <si>
    <t>Fiabilité
R(t)</t>
  </si>
  <si>
    <t>Fonction de
répartition F(t)</t>
  </si>
  <si>
    <t>0 – 500</t>
  </si>
  <si>
    <t>500 – 1000</t>
  </si>
  <si>
    <t>1000 – 1500</t>
  </si>
  <si>
    <t>1500 – 2000</t>
  </si>
  <si>
    <t>2000 – 2500</t>
  </si>
  <si>
    <t>2500 – 3000</t>
  </si>
  <si>
    <t>3000 – 3500</t>
  </si>
  <si>
    <t>A2.1</t>
  </si>
  <si>
    <t>Compléter entièrement le tableau empirique ci-dessus (colonnes surlignées en jaune).  (4 pts)</t>
  </si>
  <si>
    <t>A2.2</t>
  </si>
  <si>
    <t>Tracer la courbe λ(t) en fonction du temps dans la zone ci-dessous. Commenter l'allure obtenue. À quelle zone de la courbe en baignoire correspond-elle ?  (2 pts)</t>
  </si>
  <si>
    <t>A2.3</t>
  </si>
  <si>
    <t>Estimer graphiquement l'MTBF de la tête de remplissage TR1. Comparer avec la valeur calculée.  (1 pt)</t>
  </si>
  <si>
    <t>Zone réservée au tracé de la courbe λ(t) (ou copie/collage depuis Ellistat)</t>
  </si>
  <si>
    <t>PARTIE B – MODÉLISATION PAR LA LOI DE WEIBULL  (16 points)</t>
  </si>
  <si>
    <t>Contexte : Le service maintenance a relevé les durées de fonctionnement (TBF en heures) de 15 joints d'étanchéité des pistons hydrauliques équipant le poste de thermosoudage PTS.
Ces joints sont des pièces d'usure critique : leur défaillance entraîne un arrêt immédiat de la ligne.
Les données sont disponibles dans la feuille 'Données Weibull'.
Vous utiliserez Ellistat pour réaliser l'analyse de Weibull (méthode des rangs médians + régression).</t>
  </si>
  <si>
    <t>B1 – Détermination des paramètres de Weibull  (6 points)</t>
  </si>
  <si>
    <t>Travail demandé (à réaliser avec Ellistat) :</t>
  </si>
  <si>
    <t>B1.1</t>
  </si>
  <si>
    <t>Importer les données de durée de vie dans Ellistat. Réaliser l'analyse de Weibull à 2 paramètres. Reporter ci-dessous les paramètres obtenus.  (2 pts)</t>
  </si>
  <si>
    <t>B1.2</t>
  </si>
  <si>
    <t>Interpréter physiquement la valeur du paramètre de forme β (bêta). Que traduit-il sur le comportement en défaillance des joints ?  (2 pts)</t>
  </si>
  <si>
    <t>B1.3</t>
  </si>
  <si>
    <t>Quelle est la valeur du paramètre d'échelle η (êta) ? Que représente-t-il physiquement ?  (2 pts)</t>
  </si>
  <si>
    <t>Reporter ici les paramètres identifiés par Ellistat :</t>
  </si>
  <si>
    <t>Paramètre</t>
  </si>
  <si>
    <t>Symbole</t>
  </si>
  <si>
    <t>Valeur obtenue (Ellistat)</t>
  </si>
  <si>
    <t>Unité</t>
  </si>
  <si>
    <t>Paramètre de forme</t>
  </si>
  <si>
    <t>β (bêta)</t>
  </si>
  <si>
    <t>Paramètre d'échelle</t>
  </si>
  <si>
    <t>η (êta)</t>
  </si>
  <si>
    <t>heures</t>
  </si>
  <si>
    <t>Coefficient R²</t>
  </si>
  <si>
    <t>R²</t>
  </si>
  <si>
    <t>–</t>
  </si>
  <si>
    <t>B2 – Calculs à partir du modèle de Weibull  (10 points)</t>
  </si>
  <si>
    <t>Rappel de la loi de Weibull à 2 paramètres :
  R(t) = exp[−(t/η)^β]       F(t) = 1 − R(t)       λ(t) = (β/η)·(t/η)^(β−1)
  MTBF = η · Γ(1 + 1/β)    où Γ est la fonction Gamma d'Euler</t>
  </si>
  <si>
    <t>B2.1</t>
  </si>
  <si>
    <t>En utilisant les paramètres identifiés avec Ellistat, calculer la fiabilité du joint à t = 2 000 h. Interpréter le résultat.  (2 pts)</t>
  </si>
  <si>
    <t>B2.2</t>
  </si>
  <si>
    <t>À quel instant t* la fiabilité du joint atteint-elle 90 % ? Montrer le calcul.  (2 pts)</t>
  </si>
  <si>
    <t>B2.3</t>
  </si>
  <si>
    <t>Calculer le MTBF du joint d'étanchéité.  (2 pts)</t>
  </si>
  <si>
    <t>B2.4</t>
  </si>
  <si>
    <t>Calculer le taux de défaillance instantané λ(2000 h). Comparer avec le taux constant λ = 1/MTBF. Commenter.  (2 pts)</t>
  </si>
  <si>
    <t>B2.5</t>
  </si>
  <si>
    <t>Coller ci-dessous la droite de Henry (papier de Weibull) obtenue depuis Ellistat et commenter la qualité de l'ajustement.  (2 pts)</t>
  </si>
  <si>
    <t>Zone réservée à la copie du papier de Weibull (droite de Henry) depuis Ellistat</t>
  </si>
  <si>
    <t>DONNÉES – Durées de vie des joints d'étanchéité PTS (Partie B)</t>
  </si>
  <si>
    <t>15 joints d'étanchéité hydraulique PTS (référence HYD-245-PTS) ont été suivis jusqu'à défaillance. Tous les joints sont des défaillances complètes (pas de censure). Importer la colonne TBF dans Ellistat pour réaliser l'analyse de Weibull.</t>
  </si>
  <si>
    <t>N°</t>
  </si>
  <si>
    <t>TBF (heures)</t>
  </si>
  <si>
    <t>Commentaire</t>
  </si>
  <si>
    <t>Rang médian i/(n+1)</t>
  </si>
  <si>
    <t>ln(TBF)</t>
  </si>
  <si>
    <t>Défaillance complète</t>
  </si>
  <si>
    <t>⚠ Utiliser la colonne B (TBF en heures) pour l'importation dans Ellistat → Module Fiabilité → Analyse de Weibull → Saisie manuelle des données</t>
  </si>
  <si>
    <t>PARTIE C – OPTIMISATION DE LA PÉRIODICITÉ DE MAINTENANCE PRÉVENTIVE  (12 points)</t>
  </si>
  <si>
    <t>Contexte : Suite à l'analyse de Weibull (Partie B), le responsable maintenance veut déterminer la périodicité optimale de remplacement préventif (systématique) des joints PTS.
Données économiques et de maintenance :
  • Coût d'une intervention corrective (remplacement après défaillance)  :  Cc = 1 850 € (immobilisation ligne + MO urgente + pièce)
  • Coût d'une intervention préventive (remplacement planifié)            :  Cp = 380 € (MO planifiée + pièce, ligne non arrêtée)
  • MTBF du joint (calculé en B2.3)                                      :  MTBF = voir Partie B
  • Paramètres de Weibull identifiés en Partie B                         :  β et η voir feuille Données Weibull
Rappel – Coût moyen de maintenance par unité de temps (modèle âge) :
  C(T) = [Cp·R(T) + Cc·F(T)] / [T·R(T) + MTBF_tronqué·F(T)]</t>
  </si>
  <si>
    <t>C1 – Analyse préliminaire  (4 points)</t>
  </si>
  <si>
    <t>C1.1</t>
  </si>
  <si>
    <t>À partir de la valeur de β obtenue en Partie B, justifier si une politique de maintenance préventive systématique est pertinente pour les joints PTS.  (2 pts)</t>
  </si>
  <si>
    <t>C1.2</t>
  </si>
  <si>
    <t>Exprimer littéralement la condition économique qui rend la maintenance préventive intéressante par rapport à une politique tout-correctif.  (2 pts)</t>
  </si>
  <si>
    <t>C2 – Tableau de calcul du coût moyen C(T) en fonction de la périodicité T  (8 points)</t>
  </si>
  <si>
    <t>En vous basant sur les paramètres β et η identifiés dans Ellistat, et les coûts donnés ci-dessus, compléter le tableau ci-dessous pour les périodicités T indiquées.
Pour R(T) et F(T) : utiliser la formule de Weibull  R(T) = exp[−(T/η)^β]  avec les valeurs de β et η de la Partie B.
Pour le MTBF tronqué : utiliser la valeur calculée en B2.3 comme approximation.</t>
  </si>
  <si>
    <t>⚠ Saisir les paramètres β et η identifiés avec Ellistat (cases bleues ci-dessous) – Les valeurs pré-remplies sont des valeurs de référence à remplacer par VOS résultats :</t>
  </si>
  <si>
    <t>β (paramètre de forme) =</t>
  </si>
  <si>
    <t>← Remplacer par valeur Ellistat</t>
  </si>
  <si>
    <t>η (paramètre d'échelle, h) =</t>
  </si>
  <si>
    <t>MTBF (h) =</t>
  </si>
  <si>
    <t>Cp (€) =</t>
  </si>
  <si>
    <t>← Coût intervention préventive</t>
  </si>
  <si>
    <t>Cc (€) =</t>
  </si>
  <si>
    <t>← Coût intervention corrective</t>
  </si>
  <si>
    <t>T (heures)</t>
  </si>
  <si>
    <t>R(T) = exp[−(T/η)^β]</t>
  </si>
  <si>
    <t>F(T) = 1 − R(T)</t>
  </si>
  <si>
    <t>Numérateur
Cp·R(T) + Cc·F(T)</t>
  </si>
  <si>
    <t>Dénominateur
T·R(T) + MTBF·F(T)</t>
  </si>
  <si>
    <t>C(T) (€/heure)</t>
  </si>
  <si>
    <t>C2.1</t>
  </si>
  <si>
    <t>Compléter le tableau ci-dessus (après avoir saisi β, η et MTBF en cases jaunes).  (4 pts)</t>
  </si>
  <si>
    <t>C2.2</t>
  </si>
  <si>
    <t>Déterminer la périodicité optimale T* qui minimise C(T). Tracer la courbe C(T)=f(T) dans la zone ci-dessous.  (2 pts)</t>
  </si>
  <si>
    <t>C2.3</t>
  </si>
  <si>
    <t>Comparer le coût de la politique préventive optimale C(T*) au coût d'une politique tout-correctif C_correctif = Cc / MTBF. Conclure sur l'intérêt économique de la maintenance préventive.  (2 pts)</t>
  </si>
  <si>
    <t>Zone réservée au tracé de la courbe C(T) = f(T) (ou copie/collage depuis Excel/Ellistat)</t>
  </si>
  <si>
    <t>CORRIGÉ – RÉSERVÉ À L'ENSEIGNANT</t>
  </si>
  <si>
    <t>PARTIE A – CORRIGÉ</t>
  </si>
  <si>
    <t>A1 – Fiabilité du système</t>
  </si>
  <si>
    <t>Structure : PFB — [TR1 ∥ TR2] — PTS — PET  (tous en série sauf TR1/TR2 en parallèle)</t>
  </si>
  <si>
    <t>R_TR(t) = 1 − (1−R_TR1)·(1−R_TR2) = 1 − (1−0.82)·(1−0.79) = 1 − 0.18×0.21 = 1 − 0.0378 = 0.9622</t>
  </si>
  <si>
    <t>R_sys = R_PFB × R_TR × R_PTS × R_PET = 0.88 × 0.9622 × 0.91 × 0.85</t>
  </si>
  <si>
    <t>→ R_sys(1000h) ≈ 0.649  soit environ 65 % de chance que la ligne soit opérationnelle à 1 000 h</t>
  </si>
  <si>
    <t>A2 – Corrigé tableau empirique TR1</t>
  </si>
  <si>
    <t>Intervalle</t>
  </si>
  <si>
    <t>Δni</t>
  </si>
  <si>
    <t>ni (début)</t>
  </si>
  <si>
    <t>λ(t) (déf/h)</t>
  </si>
  <si>
    <t>R(t)</t>
  </si>
  <si>
    <t>F(t)</t>
  </si>
  <si>
    <t>Commentaire λ(t) : Le taux de défaillance croît avec le temps → zone de vieillissement (pente ascendante). Correspond au flanc droit de la courbe en baignoire. β &gt; 1 confirmé par Weibull.</t>
  </si>
  <si>
    <t>PARTIE B – CORRIGÉ Weibull</t>
  </si>
  <si>
    <t>Paramètres attendus (Ellistat)</t>
  </si>
  <si>
    <t>β ≈ 2.3 à 2.5  |  η ≈ 3 100 – 3 300 h  |  R² &gt; 0.97</t>
  </si>
  <si>
    <t>B1.2 – Interprétation β &gt; 1</t>
  </si>
  <si>
    <t>β &gt; 1 → taux de défaillance croissant → usure progressive. Maintenance préventive justifiée.</t>
  </si>
  <si>
    <t>B1.3 – Interprétation η</t>
  </si>
  <si>
    <t>η = durée caractéristique : 63,2 % des joints ont défailli à t = η ≈ 3200 h</t>
  </si>
  <si>
    <t>B2.1 – R(2000h) attendu</t>
  </si>
  <si>
    <t>R(2000) = exp[−(2000/3200)^2.4] ≈ exp(−0.503) ≈ 0.605 soit ~60.5 %</t>
  </si>
  <si>
    <t>B2.2 – t* pour R=0.90</t>
  </si>
  <si>
    <t>0.90 = exp[−(t*/η)^β]  →  t* = η·[−ln(0.90)]^(1/β) ≈ 3200·(0.1054)^(0.435) ≈ 1 110 h</t>
  </si>
  <si>
    <t>B2.3 – MTBF</t>
  </si>
  <si>
    <t>MTBF = η·Γ(1+1/β) ≈ 3200·Γ(1.435) ≈ 3200·0.886 ≈ 2 835 h</t>
  </si>
  <si>
    <t>B2.4 – λ(2000h)</t>
  </si>
  <si>
    <t>λ(2000) = (β/η)·(2000/η)^(β−1) ≈ (2.4/3200)·(0.625)^1.4 ≈ 4.1×10⁻⁴ déf/h vs λ_moyen = 1/MTBF ≈ 3.5×10⁻⁴ → λ(2000) &gt; λ_moyen : usure déjà active</t>
  </si>
  <si>
    <t>PARTIE C – CORRIGÉ Périodicité optimale</t>
  </si>
  <si>
    <t>C1.1 – Justification MP</t>
  </si>
  <si>
    <t>β ≈ 2.4 &gt; 1 → taux de défaillance croissant → le remplacement préventif est pertinent car on peut éviter les défaillances en changeant le joint avant sa dégradation avancée.</t>
  </si>
  <si>
    <t>C1.2 – Condition économique</t>
  </si>
  <si>
    <t>La MP est intéressante si C(T*) &lt; Cc/MTBF, c'est-à-dire si le coût d'intervention préventive planifiée est inférieur au coût moyen d'une politique tout-correctif.</t>
  </si>
  <si>
    <t>C2.2 – Périodicité optimale T*</t>
  </si>
  <si>
    <t>Avec β≈2.4, η≈3200, Cp=380€, Cc=1850€, MTBF≈2835h :
T* ≈ 1 500 h (minimum de C(T) d'après le tableau).
C(T*) ≈ 0.28 €/h soit 1 344 €/cycle.</t>
  </si>
  <si>
    <t>C2.3 – Comparaison</t>
  </si>
  <si>
    <t>C_correctif = 1850/2835 ≈ 0.653 €/h.
C(T*) ≈ 0.28 €/h → économie ≈ 57 % par rapport au tout-correctif.
La maintenance préventive est très rentable pour ce composant.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</si>
</sst>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
  </numFmts>
  <fonts count="17" x14ac:knownFonts="1">
    <font>
      <sz val="11"/>
      <color theme="1"/>
      <name val="Calibri"/>
      <family val="2"/>
      <charset val="1"/>
    </font>
    <font>
      <b/>
      <sz val="22"/>
      <color rgb="FFFFFFFF"/>
      <name val="Arial"/>
      <charset val="1"/>
    </font>
    <font>
      <b/>
      <sz val="14"/>
      <color rgb="FFFFFFFF"/>
      <name val="Arial"/>
      <charset val="1"/>
    </font>
    <font>
      <b/>
      <sz val="11"/>
      <name val="Arial"/>
      <charset val="1"/>
    </font>
    <font>
      <sz val="11"/>
      <name val="Arial"/>
      <charset val="1"/>
    </font>
    <font>
      <b/>
      <sz val="11"/>
      <color rgb="FFFFFFFF"/>
      <name val="Arial"/>
      <charset val="1"/>
    </font>
    <font>
      <sz val="10"/>
      <name val="Arial"/>
      <charset val="1"/>
    </font>
    <font>
      <b/>
      <sz val="12"/>
      <color rgb="FFFFFFFF"/>
      <name val="Arial"/>
      <charset val="1"/>
    </font>
    <font>
      <b/>
      <sz val="10"/>
      <color rgb="FF000000"/>
      <name val="Arial"/>
      <charset val="1"/>
    </font>
    <font>
      <b/>
      <sz val="10"/>
      <name val="Arial"/>
      <charset val="1"/>
    </font>
    <font>
      <b/>
      <sz val="10"/>
      <color rgb="FF1F3864"/>
      <name val="Arial"/>
      <charset val="1"/>
    </font>
    <font>
      <b/>
      <sz val="9"/>
      <name val="Arial"/>
      <charset val="1"/>
    </font>
    <font>
      <i/>
      <sz val="10"/>
      <name val="Arial"/>
      <charset val="1"/>
    </font>
    <font>
      <sz val="10"/>
      <color rgb="FF006400"/>
      <name val="Arial"/>
      <charset val="1"/>
    </font>
    <font>
      <b/>
      <sz val="10"/>
      <color rgb="FFC00000"/>
      <name val="Arial"/>
      <charset val="1"/>
    </font>
    <font>
      <b/>
      <sz val="10"/>
      <color rgb="FF0000FF"/>
      <name val="Arial"/>
      <charset val="1"/>
    </font>
    <font>
      <i/>
      <sz val="9"/>
      <color rgb="FFC00000"/>
      <name val="Arial"/>
      <charset val="1"/>
    </font>
  </fonts>
  <fills count="12">
    <fill>
      <patternFill patternType="none"/>
    </fill>
    <fill>
      <patternFill patternType="gray125"/>
    </fill>
    <fill>
      <patternFill patternType="solid">
        <fgColor rgb="FF1F3864"/>
        <bgColor rgb="FF333333"/>
      </patternFill>
    </fill>
    <fill>
      <patternFill patternType="solid">
        <fgColor rgb="FF2E74B5"/>
        <bgColor rgb="FF0066CC"/>
      </patternFill>
    </fill>
    <fill>
      <patternFill patternType="solid">
        <fgColor rgb="FFBDD7EE"/>
        <bgColor rgb="FFD6E4F0"/>
      </patternFill>
    </fill>
    <fill>
      <patternFill patternType="solid">
        <fgColor rgb="FFF2F2F2"/>
        <bgColor rgb="FFE2EFDA"/>
      </patternFill>
    </fill>
    <fill>
      <patternFill patternType="solid">
        <fgColor rgb="FFFFF2CC"/>
        <bgColor rgb="FFFCE4D6"/>
      </patternFill>
    </fill>
    <fill>
      <patternFill patternType="solid">
        <fgColor rgb="FFFFFFFF"/>
        <bgColor rgb="FFF2F2F2"/>
      </patternFill>
    </fill>
    <fill>
      <patternFill patternType="solid">
        <fgColor rgb="FFD6E4F0"/>
        <bgColor rgb="FFE2EFDA"/>
      </patternFill>
    </fill>
    <fill>
      <patternFill patternType="solid">
        <fgColor rgb="FFE2EFDA"/>
        <bgColor rgb="FFF2F2F2"/>
      </patternFill>
    </fill>
    <fill>
      <patternFill patternType="solid">
        <fgColor rgb="FFFCE4D6"/>
        <bgColor rgb="FFFFF2CC"/>
      </patternFill>
    </fill>
    <fill>
      <patternFill patternType="solid">
        <fgColor rgb="FFC00000"/>
        <bgColor rgb="FF800000"/>
      </patternFill>
    </fill>
  </fills>
  <borders count="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1">
    <xf numFmtId="0" fontId="0" fillId="0" borderId="0" xfId="0"/>
    <xf numFmtId="0" fontId="14" fillId="10" borderId="0" xfId="0" applyFont="1" applyFill="1" applyAlignment="1">
      <alignment horizontal="left" vertical="center" wrapText="1"/>
    </xf>
    <xf numFmtId="0" fontId="12" fillId="8" borderId="0" xfId="0" applyFont="1" applyFill="1" applyAlignment="1">
      <alignment horizontal="left" vertical="center" wrapText="1"/>
    </xf>
    <xf numFmtId="0" fontId="0" fillId="6" borderId="1" xfId="0" applyFill="1" applyBorder="1"/>
    <xf numFmtId="0" fontId="6" fillId="0" borderId="0" xfId="0" applyFont="1" applyAlignment="1">
      <alignment horizontal="left" vertical="top" wrapText="1"/>
    </xf>
    <xf numFmtId="0" fontId="8" fillId="4" borderId="0" xfId="0" applyFont="1" applyFill="1" applyAlignment="1">
      <alignment horizontal="left" vertical="center" wrapText="1"/>
    </xf>
    <xf numFmtId="0" fontId="7" fillId="2" borderId="0" xfId="0" applyFont="1" applyFill="1" applyAlignment="1">
      <alignment horizontal="center" vertical="center"/>
    </xf>
    <xf numFmtId="0" fontId="6" fillId="5" borderId="0" xfId="0" applyFont="1" applyFill="1" applyAlignment="1">
      <alignment horizontal="left" vertical="top" wrapText="1"/>
    </xf>
    <xf numFmtId="0" fontId="0" fillId="6" borderId="1" xfId="0" applyFill="1" applyBorder="1" applyAlignment="1">
      <alignment horizontal="left" vertical="center"/>
    </xf>
    <xf numFmtId="0" fontId="3" fillId="5" borderId="0" xfId="0" applyFont="1" applyFill="1" applyAlignment="1">
      <alignment horizontal="right" vertical="center"/>
    </xf>
    <xf numFmtId="0" fontId="5" fillId="3" borderId="0" xfId="0" applyFont="1" applyFill="1" applyAlignment="1">
      <alignment horizontal="center" vertical="center"/>
    </xf>
    <xf numFmtId="0" fontId="4" fillId="0" borderId="0" xfId="0" applyFont="1" applyAlignment="1">
      <alignment horizontal="left" vertical="center"/>
    </xf>
    <xf numFmtId="0" fontId="3" fillId="4" borderId="0" xfId="0" applyFont="1" applyFill="1" applyAlignment="1">
      <alignment horizontal="right"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9" fillId="4" borderId="2"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2" xfId="0" applyFont="1" applyFill="1" applyBorder="1" applyAlignment="1">
      <alignment horizontal="left" vertical="center"/>
    </xf>
    <xf numFmtId="164" fontId="6" fillId="7" borderId="2" xfId="0" applyNumberFormat="1" applyFont="1" applyFill="1" applyBorder="1" applyAlignment="1">
      <alignment horizontal="center" vertical="center"/>
    </xf>
    <xf numFmtId="0" fontId="6" fillId="5" borderId="2" xfId="0" applyFont="1" applyFill="1" applyBorder="1" applyAlignment="1">
      <alignment horizontal="center" vertical="center"/>
    </xf>
    <xf numFmtId="0" fontId="6" fillId="5" borderId="2" xfId="0" applyFont="1" applyFill="1" applyBorder="1" applyAlignment="1">
      <alignment horizontal="left" vertical="center"/>
    </xf>
    <xf numFmtId="164" fontId="6" fillId="5" borderId="2" xfId="0" applyNumberFormat="1" applyFont="1" applyFill="1" applyBorder="1" applyAlignment="1">
      <alignment horizontal="center" vertical="center"/>
    </xf>
    <xf numFmtId="0" fontId="10" fillId="0" borderId="0" xfId="0" applyFont="1" applyAlignment="1">
      <alignment horizontal="center" vertical="center"/>
    </xf>
    <xf numFmtId="0" fontId="11" fillId="4" borderId="2" xfId="0" applyFont="1" applyFill="1" applyBorder="1" applyAlignment="1">
      <alignment horizontal="center" vertical="center" wrapText="1"/>
    </xf>
    <xf numFmtId="0" fontId="6" fillId="6" borderId="2" xfId="0" applyFont="1" applyFill="1" applyBorder="1" applyAlignment="1">
      <alignment horizontal="center" vertical="center"/>
    </xf>
    <xf numFmtId="165" fontId="6" fillId="6" borderId="2" xfId="0" applyNumberFormat="1" applyFont="1" applyFill="1" applyBorder="1" applyAlignment="1">
      <alignment horizontal="center" vertical="center"/>
    </xf>
    <xf numFmtId="164" fontId="6" fillId="6" borderId="2" xfId="0" applyNumberFormat="1" applyFont="1" applyFill="1" applyBorder="1" applyAlignment="1">
      <alignment horizontal="center" vertical="center"/>
    </xf>
    <xf numFmtId="0" fontId="9" fillId="7" borderId="2" xfId="0" applyFont="1" applyFill="1" applyBorder="1" applyAlignment="1">
      <alignment horizontal="center" vertical="center"/>
    </xf>
    <xf numFmtId="0" fontId="13" fillId="7" borderId="2" xfId="0" applyFont="1" applyFill="1" applyBorder="1"/>
    <xf numFmtId="166" fontId="6" fillId="9" borderId="2" xfId="0" applyNumberFormat="1" applyFont="1" applyFill="1" applyBorder="1" applyAlignment="1">
      <alignment horizontal="center" vertical="center"/>
    </xf>
    <xf numFmtId="0" fontId="9" fillId="5" borderId="2" xfId="0" applyFont="1" applyFill="1" applyBorder="1" applyAlignment="1">
      <alignment horizontal="center" vertical="center"/>
    </xf>
    <xf numFmtId="0" fontId="13" fillId="5" borderId="2" xfId="0" applyFont="1" applyFill="1" applyBorder="1"/>
    <xf numFmtId="2" fontId="15" fillId="6" borderId="2" xfId="0" applyNumberFormat="1" applyFont="1" applyFill="1" applyBorder="1" applyAlignment="1">
      <alignment horizontal="center" vertical="center"/>
    </xf>
    <xf numFmtId="0" fontId="16" fillId="0" borderId="0" xfId="0" applyFont="1" applyAlignment="1">
      <alignment horizontal="left" vertical="center"/>
    </xf>
    <xf numFmtId="1" fontId="15" fillId="6" borderId="2" xfId="0" applyNumberFormat="1" applyFont="1" applyFill="1" applyBorder="1" applyAlignment="1">
      <alignment horizontal="center" vertical="center"/>
    </xf>
    <xf numFmtId="4" fontId="6" fillId="9" borderId="2" xfId="0" applyNumberFormat="1" applyFont="1" applyFill="1" applyBorder="1" applyAlignment="1">
      <alignment horizontal="center" vertical="center"/>
    </xf>
    <xf numFmtId="166" fontId="9" fillId="9" borderId="2" xfId="0" applyNumberFormat="1" applyFont="1" applyFill="1" applyBorder="1" applyAlignment="1">
      <alignment horizontal="center" vertical="center"/>
    </xf>
    <xf numFmtId="165" fontId="6" fillId="7" borderId="2" xfId="0" applyNumberFormat="1" applyFont="1" applyFill="1" applyBorder="1" applyAlignment="1">
      <alignment horizontal="center" vertical="center"/>
    </xf>
    <xf numFmtId="165" fontId="6" fillId="5" borderId="2" xfId="0" applyNumberFormat="1" applyFont="1" applyFill="1" applyBorder="1" applyAlignment="1">
      <alignment horizontal="center" vertical="center"/>
    </xf>
    <xf numFmtId="0" fontId="9" fillId="4" borderId="0" xfId="0" applyFont="1" applyFill="1" applyAlignment="1">
      <alignment horizontal="left" vertical="center"/>
    </xf>
    <xf numFmtId="0" fontId="6" fillId="8" borderId="0" xfId="0" applyFont="1" applyFill="1" applyAlignment="1">
      <alignment horizontal="left" vertical="top" wrapText="1"/>
    </xf>
    <xf numFmtId="0" fontId="9" fillId="5" borderId="0" xfId="0" applyFont="1" applyFill="1" applyAlignment="1">
      <alignment horizontal="right" vertical="center"/>
    </xf>
    <xf numFmtId="0" fontId="7" fillId="11" borderId="0" xfId="0" applyFont="1" applyFill="1" applyAlignment="1">
      <alignment horizontal="center" vertical="center"/>
    </xf>
    <xf numFmtId="0" fontId="6" fillId="0" borderId="0" xfId="0" applyFont="1" applyAlignment="1">
      <alignment horizontal="left" vertical="center" wrapText="1"/>
    </xf>
    <xf numFmtId="0" fontId="6" fillId="9" borderId="0" xfId="0" applyFont="1" applyFill="1" applyAlignment="1">
      <alignment horizontal="left" vertical="center"/>
    </xf>
    <xf numFmtId="166" fontId="14" fillId="9" borderId="0" xfId="0" applyNumberFormat="1" applyFont="1" applyFill="1" applyAlignment="1">
      <alignment horizontal="left" vertical="center"/>
    </xf>
    <xf numFmtId="0" fontId="9" fillId="0" borderId="0" xfId="0" applyFont="1" applyAlignment="1">
      <alignment horizontal="left" vertical="center"/>
    </xf>
    <xf numFmtId="0" fontId="12" fillId="6" borderId="0" xfId="0" applyFont="1" applyFill="1" applyAlignment="1">
      <alignment horizontal="left" vertical="center" wrapText="1"/>
    </xf>
    <xf numFmtId="0" fontId="0" fillId="0" borderId="0" xfId="0"/>
    <xf numFmtId="0" fontId="6" fillId="9" borderId="0" xfId="0" applyFont="1" applyFill="1" applyAlignment="1">
      <alignment horizontal="left" vertical="center" wrapText="1"/>
    </xf>
    <xf numFmtId="0" fontId="6" fillId="9"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400"/>
      <rgbColor rgb="FF000080"/>
      <rgbColor rgb="FF808000"/>
      <rgbColor rgb="FF800080"/>
      <rgbColor rgb="FF008080"/>
      <rgbColor rgb="FFC0C0C0"/>
      <rgbColor rgb="FF808080"/>
      <rgbColor rgb="FF9999FF"/>
      <rgbColor rgb="FF993366"/>
      <rgbColor rgb="FFFFF2CC"/>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2E74B5"/>
      <rgbColor rgb="FF33CCCC"/>
      <rgbColor rgb="FF99CC00"/>
      <rgbColor rgb="FFFFCC00"/>
      <rgbColor rgb="FFFF9900"/>
      <rgbColor rgb="FFFF6600"/>
      <rgbColor rgb="FF666699"/>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G28"/>
  <sheetViews>
    <sheetView showGridLines="0" zoomScaleNormal="100" workbookViewId="0"/>
  </sheetViews>
  <sheetFormatPr baseColWidth="10" defaultColWidth="8.7109375" defaultRowHeight="15" x14ac:dyDescent="0.25"/>
  <cols>
    <col min="1" max="1" width="4" customWidth="1"/>
    <col min="2" max="2" width="40" customWidth="1"/>
    <col min="3" max="7" width="20" customWidth="1"/>
  </cols>
  <sheetData>
    <row r="1" spans="2:7" ht="19.5" customHeight="1" x14ac:dyDescent="0.25"/>
    <row r="2" spans="2:7" ht="34.5" customHeight="1" x14ac:dyDescent="0.25">
      <c r="B2" s="14" t="s">
        <v>0</v>
      </c>
      <c r="C2" s="14"/>
      <c r="D2" s="14"/>
      <c r="E2" s="14"/>
      <c r="F2" s="14"/>
      <c r="G2" s="14"/>
    </row>
    <row r="3" spans="2:7" ht="34.5" customHeight="1" x14ac:dyDescent="0.25">
      <c r="B3" s="14"/>
      <c r="C3" s="14"/>
      <c r="D3" s="14"/>
      <c r="E3" s="14"/>
      <c r="F3" s="14"/>
      <c r="G3" s="14"/>
    </row>
    <row r="4" spans="2:7" ht="34.5" customHeight="1" x14ac:dyDescent="0.25">
      <c r="B4" s="14"/>
      <c r="C4" s="14"/>
      <c r="D4" s="14"/>
      <c r="E4" s="14"/>
      <c r="F4" s="14"/>
      <c r="G4" s="14"/>
    </row>
    <row r="5" spans="2:7" ht="27.75" customHeight="1" x14ac:dyDescent="0.25">
      <c r="B5" s="13" t="s">
        <v>1</v>
      </c>
      <c r="C5" s="13"/>
      <c r="D5" s="13"/>
      <c r="E5" s="13"/>
      <c r="F5" s="13"/>
      <c r="G5" s="13"/>
    </row>
    <row r="7" spans="2:7" ht="21.75" customHeight="1" x14ac:dyDescent="0.25">
      <c r="B7" s="12" t="s">
        <v>2</v>
      </c>
      <c r="C7" s="12"/>
      <c r="D7" s="11" t="s">
        <v>3</v>
      </c>
      <c r="E7" s="11"/>
      <c r="F7" s="11"/>
      <c r="G7" s="11"/>
    </row>
    <row r="8" spans="2:7" ht="21.75" customHeight="1" x14ac:dyDescent="0.25">
      <c r="B8" s="12" t="s">
        <v>4</v>
      </c>
      <c r="C8" s="12"/>
      <c r="D8" s="11" t="s">
        <v>5</v>
      </c>
      <c r="E8" s="11"/>
      <c r="F8" s="11"/>
      <c r="G8" s="11"/>
    </row>
    <row r="9" spans="2:7" ht="21.75" customHeight="1" x14ac:dyDescent="0.25">
      <c r="B9" s="12" t="s">
        <v>6</v>
      </c>
      <c r="C9" s="12"/>
      <c r="D9" s="11" t="s">
        <v>7</v>
      </c>
      <c r="E9" s="11"/>
      <c r="F9" s="11"/>
      <c r="G9" s="11"/>
    </row>
    <row r="10" spans="2:7" ht="21.75" customHeight="1" x14ac:dyDescent="0.25">
      <c r="B10" s="12" t="s">
        <v>8</v>
      </c>
      <c r="C10" s="12"/>
      <c r="D10" s="11" t="s">
        <v>9</v>
      </c>
      <c r="E10" s="11"/>
      <c r="F10" s="11"/>
      <c r="G10" s="11"/>
    </row>
    <row r="11" spans="2:7" ht="21.75" customHeight="1" x14ac:dyDescent="0.25">
      <c r="B11" s="12" t="s">
        <v>10</v>
      </c>
      <c r="C11" s="12"/>
      <c r="D11" s="11" t="s">
        <v>11</v>
      </c>
      <c r="E11" s="11"/>
      <c r="F11" s="11"/>
      <c r="G11" s="11"/>
    </row>
    <row r="12" spans="2:7" ht="21.75" customHeight="1" x14ac:dyDescent="0.25">
      <c r="B12" s="12" t="s">
        <v>12</v>
      </c>
      <c r="C12" s="12"/>
      <c r="D12" s="11" t="s">
        <v>13</v>
      </c>
      <c r="E12" s="11"/>
      <c r="F12" s="11"/>
      <c r="G12" s="11"/>
    </row>
    <row r="14" spans="2:7" ht="27.75" customHeight="1" x14ac:dyDescent="0.25">
      <c r="B14" s="10" t="s">
        <v>14</v>
      </c>
      <c r="C14" s="10"/>
      <c r="D14" s="10"/>
      <c r="E14" s="10"/>
      <c r="F14" s="10"/>
      <c r="G14" s="10"/>
    </row>
    <row r="15" spans="2:7" ht="24" customHeight="1" x14ac:dyDescent="0.25">
      <c r="B15" s="9" t="s">
        <v>15</v>
      </c>
      <c r="C15" s="9"/>
      <c r="D15" s="8"/>
      <c r="E15" s="8"/>
      <c r="F15" s="8"/>
      <c r="G15" s="8"/>
    </row>
    <row r="16" spans="2:7" ht="24" customHeight="1" x14ac:dyDescent="0.25">
      <c r="B16" s="9" t="s">
        <v>16</v>
      </c>
      <c r="C16" s="9"/>
      <c r="D16" s="8"/>
      <c r="E16" s="8"/>
      <c r="F16" s="8"/>
      <c r="G16" s="8"/>
    </row>
    <row r="17" spans="2:7" ht="24" customHeight="1" x14ac:dyDescent="0.25">
      <c r="B17" s="9" t="s">
        <v>17</v>
      </c>
      <c r="C17" s="9"/>
      <c r="D17" s="8"/>
      <c r="E17" s="8"/>
      <c r="F17" s="8"/>
      <c r="G17" s="8"/>
    </row>
    <row r="18" spans="2:7" ht="24" customHeight="1" x14ac:dyDescent="0.25">
      <c r="B18" s="9" t="s">
        <v>18</v>
      </c>
      <c r="C18" s="9"/>
      <c r="D18" s="8"/>
      <c r="E18" s="8"/>
      <c r="F18" s="8"/>
      <c r="G18" s="8"/>
    </row>
    <row r="20" spans="2:7" ht="27.75" customHeight="1" x14ac:dyDescent="0.25">
      <c r="B20" s="10" t="s">
        <v>19</v>
      </c>
      <c r="C20" s="10"/>
      <c r="D20" s="10"/>
      <c r="E20" s="10"/>
      <c r="F20" s="10"/>
      <c r="G20" s="10"/>
    </row>
    <row r="21" spans="2:7" ht="18" customHeight="1" x14ac:dyDescent="0.25">
      <c r="B21" s="7" t="s">
        <v>20</v>
      </c>
      <c r="C21" s="7"/>
      <c r="D21" s="7"/>
      <c r="E21" s="7"/>
      <c r="F21" s="7"/>
      <c r="G21" s="7"/>
    </row>
    <row r="22" spans="2:7" ht="18" customHeight="1" x14ac:dyDescent="0.25">
      <c r="B22" s="7"/>
      <c r="C22" s="7"/>
      <c r="D22" s="7"/>
      <c r="E22" s="7"/>
      <c r="F22" s="7"/>
      <c r="G22" s="7"/>
    </row>
    <row r="23" spans="2:7" ht="18" customHeight="1" x14ac:dyDescent="0.25">
      <c r="B23" s="7"/>
      <c r="C23" s="7"/>
      <c r="D23" s="7"/>
      <c r="E23" s="7"/>
      <c r="F23" s="7"/>
      <c r="G23" s="7"/>
    </row>
    <row r="24" spans="2:7" ht="18" customHeight="1" x14ac:dyDescent="0.25">
      <c r="B24" s="7"/>
      <c r="C24" s="7"/>
      <c r="D24" s="7"/>
      <c r="E24" s="7"/>
      <c r="F24" s="7"/>
      <c r="G24" s="7"/>
    </row>
    <row r="25" spans="2:7" ht="18" customHeight="1" x14ac:dyDescent="0.25">
      <c r="B25" s="7"/>
      <c r="C25" s="7"/>
      <c r="D25" s="7"/>
      <c r="E25" s="7"/>
      <c r="F25" s="7"/>
      <c r="G25" s="7"/>
    </row>
    <row r="26" spans="2:7" ht="18" customHeight="1" x14ac:dyDescent="0.25">
      <c r="B26" s="7"/>
      <c r="C26" s="7"/>
      <c r="D26" s="7"/>
      <c r="E26" s="7"/>
      <c r="F26" s="7"/>
      <c r="G26" s="7"/>
    </row>
    <row r="27" spans="2:7" ht="18" customHeight="1" x14ac:dyDescent="0.25">
      <c r="B27" s="7"/>
      <c r="C27" s="7"/>
      <c r="D27" s="7"/>
      <c r="E27" s="7"/>
      <c r="F27" s="7"/>
      <c r="G27" s="7"/>
    </row>
    <row r="28" spans="2:7" ht="18" customHeight="1" x14ac:dyDescent="0.25">
      <c r="B28" s="7"/>
      <c r="C28" s="7"/>
      <c r="D28" s="7"/>
      <c r="E28" s="7"/>
      <c r="F28" s="7"/>
      <c r="G28" s="7"/>
    </row>
  </sheetData>
  <mergeCells count="25">
    <mergeCell ref="B20:G20"/>
    <mergeCell ref="B21:G28"/>
    <mergeCell ref="B16:C16"/>
    <mergeCell ref="D16:G16"/>
    <mergeCell ref="B17:C17"/>
    <mergeCell ref="D17:G17"/>
    <mergeCell ref="B18:C18"/>
    <mergeCell ref="D18:G18"/>
    <mergeCell ref="B12:C12"/>
    <mergeCell ref="D12:G12"/>
    <mergeCell ref="B14:G14"/>
    <mergeCell ref="B15:C15"/>
    <mergeCell ref="D15:G15"/>
    <mergeCell ref="B9:C9"/>
    <mergeCell ref="D9:G9"/>
    <mergeCell ref="B10:C10"/>
    <mergeCell ref="D10:G10"/>
    <mergeCell ref="B11:C11"/>
    <mergeCell ref="D11:G11"/>
    <mergeCell ref="B2:G4"/>
    <mergeCell ref="B5:G5"/>
    <mergeCell ref="B7:C7"/>
    <mergeCell ref="D7:G7"/>
    <mergeCell ref="B8:C8"/>
    <mergeCell ref="D8:G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4B5"/>
  </sheetPr>
  <dimension ref="B1:K65"/>
  <sheetViews>
    <sheetView showGridLines="0" topLeftCell="A41" zoomScaleNormal="100" workbookViewId="0"/>
  </sheetViews>
  <sheetFormatPr baseColWidth="10" defaultColWidth="8.7109375" defaultRowHeight="15" x14ac:dyDescent="0.25"/>
  <cols>
    <col min="1" max="1" width="4" customWidth="1"/>
    <col min="2" max="2" width="11.85546875" customWidth="1"/>
    <col min="3" max="3" width="28" customWidth="1"/>
    <col min="4" max="11" width="14" customWidth="1"/>
  </cols>
  <sheetData>
    <row r="1" spans="2:11" ht="30" customHeight="1" x14ac:dyDescent="0.25">
      <c r="B1" s="6" t="s">
        <v>21</v>
      </c>
      <c r="C1" s="6"/>
      <c r="D1" s="6"/>
      <c r="E1" s="6"/>
      <c r="F1" s="6"/>
      <c r="G1" s="6"/>
      <c r="H1" s="6"/>
      <c r="I1" s="6"/>
      <c r="J1" s="6"/>
      <c r="K1" s="6"/>
    </row>
    <row r="2" spans="2:11" ht="49.5" customHeight="1" x14ac:dyDescent="0.25">
      <c r="B2" s="7" t="s">
        <v>22</v>
      </c>
      <c r="C2" s="7"/>
      <c r="D2" s="7"/>
      <c r="E2" s="7"/>
      <c r="F2" s="7"/>
      <c r="G2" s="7"/>
      <c r="H2" s="7"/>
      <c r="I2" s="7"/>
      <c r="J2" s="7"/>
      <c r="K2" s="7"/>
    </row>
    <row r="3" spans="2:11" ht="24.75" customHeight="1" x14ac:dyDescent="0.25">
      <c r="B3" s="10" t="s">
        <v>23</v>
      </c>
      <c r="C3" s="10"/>
      <c r="D3" s="10"/>
      <c r="E3" s="10"/>
      <c r="F3" s="10"/>
      <c r="G3" s="10"/>
      <c r="H3" s="10"/>
      <c r="I3" s="10"/>
      <c r="J3" s="10"/>
      <c r="K3" s="10"/>
    </row>
    <row r="4" spans="2:11" ht="19.5" customHeight="1" x14ac:dyDescent="0.25">
      <c r="B4" s="5" t="s">
        <v>24</v>
      </c>
      <c r="C4" s="5"/>
      <c r="D4" s="5"/>
      <c r="E4" s="5"/>
      <c r="F4" s="5"/>
      <c r="G4" s="5"/>
      <c r="H4" s="5"/>
      <c r="I4" s="5"/>
      <c r="J4" s="5"/>
      <c r="K4" s="5"/>
    </row>
    <row r="5" spans="2:11" ht="21.75" customHeight="1" x14ac:dyDescent="0.25">
      <c r="B5" s="15" t="s">
        <v>25</v>
      </c>
      <c r="C5" s="15" t="s">
        <v>26</v>
      </c>
      <c r="D5" s="15" t="s">
        <v>27</v>
      </c>
    </row>
    <row r="6" spans="2:11" ht="19.5" customHeight="1" x14ac:dyDescent="0.25">
      <c r="B6" s="16" t="s">
        <v>28</v>
      </c>
      <c r="C6" s="17" t="s">
        <v>29</v>
      </c>
      <c r="D6" s="18">
        <v>0.88</v>
      </c>
    </row>
    <row r="7" spans="2:11" ht="19.5" customHeight="1" x14ac:dyDescent="0.25">
      <c r="B7" s="19" t="s">
        <v>30</v>
      </c>
      <c r="C7" s="20" t="s">
        <v>31</v>
      </c>
      <c r="D7" s="21">
        <v>0.82</v>
      </c>
    </row>
    <row r="8" spans="2:11" ht="19.5" customHeight="1" x14ac:dyDescent="0.25">
      <c r="B8" s="16" t="s">
        <v>32</v>
      </c>
      <c r="C8" s="17" t="s">
        <v>33</v>
      </c>
      <c r="D8" s="18">
        <v>0.79</v>
      </c>
    </row>
    <row r="9" spans="2:11" ht="19.5" customHeight="1" x14ac:dyDescent="0.25">
      <c r="B9" s="19" t="s">
        <v>34</v>
      </c>
      <c r="C9" s="20" t="s">
        <v>35</v>
      </c>
      <c r="D9" s="21">
        <v>0.91</v>
      </c>
    </row>
    <row r="10" spans="2:11" ht="19.5" customHeight="1" x14ac:dyDescent="0.25">
      <c r="B10" s="16" t="s">
        <v>36</v>
      </c>
      <c r="C10" s="17" t="s">
        <v>37</v>
      </c>
      <c r="D10" s="18">
        <v>0.85</v>
      </c>
    </row>
    <row r="12" spans="2:11" ht="19.5" customHeight="1" x14ac:dyDescent="0.25">
      <c r="B12" s="5" t="s">
        <v>38</v>
      </c>
      <c r="C12" s="5"/>
      <c r="D12" s="5"/>
      <c r="E12" s="5"/>
      <c r="F12" s="5"/>
      <c r="G12" s="5"/>
      <c r="H12" s="5"/>
      <c r="I12" s="5"/>
      <c r="J12" s="5"/>
      <c r="K12" s="5"/>
    </row>
    <row r="13" spans="2:11" ht="18" customHeight="1" x14ac:dyDescent="0.25">
      <c r="B13" s="22" t="s">
        <v>39</v>
      </c>
      <c r="C13" s="4" t="s">
        <v>40</v>
      </c>
      <c r="D13" s="4"/>
      <c r="E13" s="4"/>
      <c r="F13" s="4"/>
      <c r="G13" s="4"/>
      <c r="H13" s="4"/>
      <c r="I13" s="4"/>
      <c r="J13" s="4"/>
      <c r="K13" s="4"/>
    </row>
    <row r="14" spans="2:11" ht="21.75" customHeight="1" x14ac:dyDescent="0.25">
      <c r="B14" s="3"/>
      <c r="C14" s="3"/>
      <c r="D14" s="3"/>
      <c r="E14" s="3"/>
      <c r="F14" s="3"/>
      <c r="G14" s="3"/>
      <c r="H14" s="3"/>
      <c r="I14" s="3"/>
      <c r="J14" s="3"/>
      <c r="K14" s="3"/>
    </row>
    <row r="15" spans="2:11" ht="21.75" customHeight="1" x14ac:dyDescent="0.25">
      <c r="B15" s="3"/>
      <c r="C15" s="3"/>
      <c r="D15" s="3"/>
      <c r="E15" s="3"/>
      <c r="F15" s="3"/>
      <c r="G15" s="3"/>
      <c r="H15" s="3"/>
      <c r="I15" s="3"/>
      <c r="J15" s="3"/>
      <c r="K15" s="3"/>
    </row>
    <row r="16" spans="2:11" ht="18" customHeight="1" x14ac:dyDescent="0.25">
      <c r="B16" s="22" t="s">
        <v>41</v>
      </c>
      <c r="C16" s="4" t="s">
        <v>42</v>
      </c>
      <c r="D16" s="4"/>
      <c r="E16" s="4"/>
      <c r="F16" s="4"/>
      <c r="G16" s="4"/>
      <c r="H16" s="4"/>
      <c r="I16" s="4"/>
      <c r="J16" s="4"/>
      <c r="K16" s="4"/>
    </row>
    <row r="17" spans="2:11" ht="21.75" customHeight="1" x14ac:dyDescent="0.25">
      <c r="B17" s="3"/>
      <c r="C17" s="3"/>
      <c r="D17" s="3"/>
      <c r="E17" s="3"/>
      <c r="F17" s="3"/>
      <c r="G17" s="3"/>
      <c r="H17" s="3"/>
      <c r="I17" s="3"/>
      <c r="J17" s="3"/>
      <c r="K17" s="3"/>
    </row>
    <row r="18" spans="2:11" ht="21.75" customHeight="1" x14ac:dyDescent="0.25">
      <c r="B18" s="3"/>
      <c r="C18" s="3"/>
      <c r="D18" s="3"/>
      <c r="E18" s="3"/>
      <c r="F18" s="3"/>
      <c r="G18" s="3"/>
      <c r="H18" s="3"/>
      <c r="I18" s="3"/>
      <c r="J18" s="3"/>
      <c r="K18" s="3"/>
    </row>
    <row r="19" spans="2:11" ht="18" customHeight="1" x14ac:dyDescent="0.25">
      <c r="B19" s="22" t="s">
        <v>43</v>
      </c>
      <c r="C19" s="4" t="s">
        <v>44</v>
      </c>
      <c r="D19" s="4"/>
      <c r="E19" s="4"/>
      <c r="F19" s="4"/>
      <c r="G19" s="4"/>
      <c r="H19" s="4"/>
      <c r="I19" s="4"/>
      <c r="J19" s="4"/>
      <c r="K19" s="4"/>
    </row>
    <row r="20" spans="2:11" ht="21.75" customHeight="1" x14ac:dyDescent="0.25">
      <c r="B20" s="3"/>
      <c r="C20" s="3"/>
      <c r="D20" s="3"/>
      <c r="E20" s="3"/>
      <c r="F20" s="3"/>
      <c r="G20" s="3"/>
      <c r="H20" s="3"/>
      <c r="I20" s="3"/>
      <c r="J20" s="3"/>
      <c r="K20" s="3"/>
    </row>
    <row r="21" spans="2:11" ht="21.75" customHeight="1" x14ac:dyDescent="0.25">
      <c r="B21" s="3"/>
      <c r="C21" s="3"/>
      <c r="D21" s="3"/>
      <c r="E21" s="3"/>
      <c r="F21" s="3"/>
      <c r="G21" s="3"/>
      <c r="H21" s="3"/>
      <c r="I21" s="3"/>
      <c r="J21" s="3"/>
      <c r="K21" s="3"/>
    </row>
    <row r="23" spans="2:11" ht="24.75" customHeight="1" x14ac:dyDescent="0.25">
      <c r="B23" s="10" t="s">
        <v>45</v>
      </c>
      <c r="C23" s="10"/>
      <c r="D23" s="10"/>
      <c r="E23" s="10"/>
      <c r="F23" s="10"/>
      <c r="G23" s="10"/>
      <c r="H23" s="10"/>
      <c r="I23" s="10"/>
      <c r="J23" s="10"/>
      <c r="K23" s="10"/>
    </row>
    <row r="24" spans="2:11" ht="21.75" customHeight="1" x14ac:dyDescent="0.25">
      <c r="B24" s="3"/>
      <c r="C24" s="3"/>
      <c r="D24" s="3"/>
      <c r="E24" s="3"/>
      <c r="F24" s="3"/>
      <c r="G24" s="3"/>
      <c r="H24" s="3"/>
      <c r="I24" s="3"/>
      <c r="J24" s="3"/>
      <c r="K24" s="3"/>
    </row>
    <row r="25" spans="2:11" ht="21.75" customHeight="1" x14ac:dyDescent="0.25">
      <c r="B25" s="3"/>
      <c r="C25" s="3"/>
      <c r="D25" s="3"/>
      <c r="E25" s="3"/>
      <c r="F25" s="3"/>
      <c r="G25" s="3"/>
      <c r="H25" s="3"/>
      <c r="I25" s="3"/>
      <c r="J25" s="3"/>
      <c r="K25" s="3"/>
    </row>
    <row r="26" spans="2:11" ht="21.75" customHeight="1" x14ac:dyDescent="0.25">
      <c r="B26" s="3"/>
      <c r="C26" s="3"/>
      <c r="D26" s="3"/>
      <c r="E26" s="3"/>
      <c r="F26" s="3"/>
      <c r="G26" s="3"/>
      <c r="H26" s="3"/>
      <c r="I26" s="3"/>
      <c r="J26" s="3"/>
      <c r="K26" s="3"/>
    </row>
    <row r="27" spans="2:11" ht="21.75" customHeight="1" x14ac:dyDescent="0.25">
      <c r="B27" s="3"/>
      <c r="C27" s="3"/>
      <c r="D27" s="3"/>
      <c r="E27" s="3"/>
      <c r="F27" s="3"/>
      <c r="G27" s="3"/>
      <c r="H27" s="3"/>
      <c r="I27" s="3"/>
      <c r="J27" s="3"/>
      <c r="K27" s="3"/>
    </row>
    <row r="28" spans="2:11" ht="21.75" customHeight="1" x14ac:dyDescent="0.25">
      <c r="B28" s="3"/>
      <c r="C28" s="3"/>
      <c r="D28" s="3"/>
      <c r="E28" s="3"/>
      <c r="F28" s="3"/>
      <c r="G28" s="3"/>
      <c r="H28" s="3"/>
      <c r="I28" s="3"/>
      <c r="J28" s="3"/>
      <c r="K28" s="3"/>
    </row>
    <row r="29" spans="2:11" ht="21.75" customHeight="1" x14ac:dyDescent="0.25">
      <c r="B29" s="3"/>
      <c r="C29" s="3"/>
      <c r="D29" s="3"/>
      <c r="E29" s="3"/>
      <c r="F29" s="3"/>
      <c r="G29" s="3"/>
      <c r="H29" s="3"/>
      <c r="I29" s="3"/>
      <c r="J29" s="3"/>
      <c r="K29" s="3"/>
    </row>
    <row r="30" spans="2:11" ht="21.75" customHeight="1" x14ac:dyDescent="0.25">
      <c r="B30" s="3"/>
      <c r="C30" s="3"/>
      <c r="D30" s="3"/>
      <c r="E30" s="3"/>
      <c r="F30" s="3"/>
      <c r="G30" s="3"/>
      <c r="H30" s="3"/>
      <c r="I30" s="3"/>
      <c r="J30" s="3"/>
      <c r="K30" s="3"/>
    </row>
    <row r="31" spans="2:11" ht="21.75" customHeight="1" x14ac:dyDescent="0.25">
      <c r="B31" s="3"/>
      <c r="C31" s="3"/>
      <c r="D31" s="3"/>
      <c r="E31" s="3"/>
      <c r="F31" s="3"/>
      <c r="G31" s="3"/>
      <c r="H31" s="3"/>
      <c r="I31" s="3"/>
      <c r="J31" s="3"/>
      <c r="K31" s="3"/>
    </row>
    <row r="33" spans="2:11" ht="24.75" customHeight="1" x14ac:dyDescent="0.25">
      <c r="B33" s="10" t="s">
        <v>46</v>
      </c>
      <c r="C33" s="10"/>
      <c r="D33" s="10"/>
      <c r="E33" s="10"/>
      <c r="F33" s="10"/>
      <c r="G33" s="10"/>
      <c r="H33" s="10"/>
      <c r="I33" s="10"/>
      <c r="J33" s="10"/>
      <c r="K33" s="10"/>
    </row>
    <row r="34" spans="2:11" ht="39.75" customHeight="1" x14ac:dyDescent="0.25">
      <c r="B34" s="7" t="s">
        <v>47</v>
      </c>
      <c r="C34" s="7"/>
      <c r="D34" s="7"/>
      <c r="E34" s="7"/>
      <c r="F34" s="7"/>
      <c r="G34" s="7"/>
      <c r="H34" s="7"/>
      <c r="I34" s="7"/>
      <c r="J34" s="7"/>
      <c r="K34" s="7"/>
    </row>
    <row r="35" spans="2:11" ht="36" customHeight="1" x14ac:dyDescent="0.25">
      <c r="B35" s="23" t="s">
        <v>48</v>
      </c>
      <c r="C35" s="23" t="s">
        <v>49</v>
      </c>
      <c r="D35" s="23" t="s">
        <v>50</v>
      </c>
      <c r="E35" s="23" t="s">
        <v>51</v>
      </c>
      <c r="F35" s="23" t="s">
        <v>52</v>
      </c>
      <c r="G35" s="23" t="s">
        <v>53</v>
      </c>
    </row>
    <row r="36" spans="2:11" ht="19.5" customHeight="1" x14ac:dyDescent="0.25">
      <c r="B36" s="16" t="s">
        <v>54</v>
      </c>
      <c r="C36" s="16">
        <v>1</v>
      </c>
      <c r="D36" s="24">
        <v>20</v>
      </c>
      <c r="E36" s="25"/>
      <c r="F36" s="26">
        <v>1</v>
      </c>
      <c r="G36" s="26"/>
    </row>
    <row r="37" spans="2:11" ht="19.5" customHeight="1" x14ac:dyDescent="0.25">
      <c r="B37" s="19" t="s">
        <v>55</v>
      </c>
      <c r="C37" s="19">
        <v>2</v>
      </c>
      <c r="D37" s="24"/>
      <c r="E37" s="25"/>
      <c r="F37" s="26"/>
      <c r="G37" s="26"/>
    </row>
    <row r="38" spans="2:11" ht="19.5" customHeight="1" x14ac:dyDescent="0.25">
      <c r="B38" s="16" t="s">
        <v>56</v>
      </c>
      <c r="C38" s="16">
        <v>3</v>
      </c>
      <c r="D38" s="24"/>
      <c r="E38" s="25"/>
      <c r="F38" s="26"/>
      <c r="G38" s="26"/>
    </row>
    <row r="39" spans="2:11" ht="19.5" customHeight="1" x14ac:dyDescent="0.25">
      <c r="B39" s="19" t="s">
        <v>57</v>
      </c>
      <c r="C39" s="19">
        <v>5</v>
      </c>
      <c r="D39" s="24"/>
      <c r="E39" s="25"/>
      <c r="F39" s="26"/>
      <c r="G39" s="26"/>
    </row>
    <row r="40" spans="2:11" ht="19.5" customHeight="1" x14ac:dyDescent="0.25">
      <c r="B40" s="16" t="s">
        <v>58</v>
      </c>
      <c r="C40" s="16">
        <v>4</v>
      </c>
      <c r="D40" s="24"/>
      <c r="E40" s="25"/>
      <c r="F40" s="26"/>
      <c r="G40" s="26"/>
    </row>
    <row r="41" spans="2:11" ht="19.5" customHeight="1" x14ac:dyDescent="0.25">
      <c r="B41" s="19" t="s">
        <v>59</v>
      </c>
      <c r="C41" s="19">
        <v>3</v>
      </c>
      <c r="D41" s="24"/>
      <c r="E41" s="25"/>
      <c r="F41" s="26"/>
      <c r="G41" s="26"/>
    </row>
    <row r="42" spans="2:11" ht="19.5" customHeight="1" x14ac:dyDescent="0.25">
      <c r="B42" s="16" t="s">
        <v>60</v>
      </c>
      <c r="C42" s="16">
        <v>2</v>
      </c>
      <c r="D42" s="24"/>
      <c r="E42" s="25"/>
      <c r="F42" s="26"/>
      <c r="G42" s="26"/>
    </row>
    <row r="44" spans="2:11" ht="19.5" customHeight="1" x14ac:dyDescent="0.25">
      <c r="B44" s="5" t="s">
        <v>38</v>
      </c>
      <c r="C44" s="5"/>
      <c r="D44" s="5"/>
      <c r="E44" s="5"/>
      <c r="F44" s="5"/>
      <c r="G44" s="5"/>
      <c r="H44" s="5"/>
      <c r="I44" s="5"/>
      <c r="J44" s="5"/>
      <c r="K44" s="5"/>
    </row>
    <row r="45" spans="2:11" ht="18" customHeight="1" x14ac:dyDescent="0.25">
      <c r="B45" s="22" t="s">
        <v>61</v>
      </c>
      <c r="C45" s="4" t="s">
        <v>62</v>
      </c>
      <c r="D45" s="4"/>
      <c r="E45" s="4"/>
      <c r="F45" s="4"/>
      <c r="G45" s="4"/>
      <c r="H45" s="4"/>
      <c r="I45" s="4"/>
      <c r="J45" s="4"/>
      <c r="K45" s="4"/>
    </row>
    <row r="46" spans="2:11" ht="21.75" customHeight="1" x14ac:dyDescent="0.25">
      <c r="B46" s="3"/>
      <c r="C46" s="3"/>
      <c r="D46" s="3"/>
      <c r="E46" s="3"/>
      <c r="F46" s="3"/>
      <c r="G46" s="3"/>
      <c r="H46" s="3"/>
      <c r="I46" s="3"/>
      <c r="J46" s="3"/>
      <c r="K46" s="3"/>
    </row>
    <row r="47" spans="2:11" ht="21.75" customHeight="1" x14ac:dyDescent="0.25">
      <c r="B47" s="3"/>
      <c r="C47" s="3"/>
      <c r="D47" s="3"/>
      <c r="E47" s="3"/>
      <c r="F47" s="3"/>
      <c r="G47" s="3"/>
      <c r="H47" s="3"/>
      <c r="I47" s="3"/>
      <c r="J47" s="3"/>
      <c r="K47" s="3"/>
    </row>
    <row r="48" spans="2:11" ht="18" customHeight="1" x14ac:dyDescent="0.25">
      <c r="B48" s="22" t="s">
        <v>63</v>
      </c>
      <c r="C48" s="4" t="s">
        <v>64</v>
      </c>
      <c r="D48" s="4"/>
      <c r="E48" s="4"/>
      <c r="F48" s="4"/>
      <c r="G48" s="4"/>
      <c r="H48" s="4"/>
      <c r="I48" s="4"/>
      <c r="J48" s="4"/>
      <c r="K48" s="4"/>
    </row>
    <row r="49" spans="2:11" ht="21.75" customHeight="1" x14ac:dyDescent="0.25">
      <c r="B49" s="3"/>
      <c r="C49" s="3"/>
      <c r="D49" s="3"/>
      <c r="E49" s="3"/>
      <c r="F49" s="3"/>
      <c r="G49" s="3"/>
      <c r="H49" s="3"/>
      <c r="I49" s="3"/>
      <c r="J49" s="3"/>
      <c r="K49" s="3"/>
    </row>
    <row r="50" spans="2:11" ht="21.75" customHeight="1" x14ac:dyDescent="0.25">
      <c r="B50" s="3"/>
      <c r="C50" s="3"/>
      <c r="D50" s="3"/>
      <c r="E50" s="3"/>
      <c r="F50" s="3"/>
      <c r="G50" s="3"/>
      <c r="H50" s="3"/>
      <c r="I50" s="3"/>
      <c r="J50" s="3"/>
      <c r="K50" s="3"/>
    </row>
    <row r="51" spans="2:11" ht="18" customHeight="1" x14ac:dyDescent="0.25">
      <c r="B51" s="22" t="s">
        <v>65</v>
      </c>
      <c r="C51" s="4" t="s">
        <v>66</v>
      </c>
      <c r="D51" s="4"/>
      <c r="E51" s="4"/>
      <c r="F51" s="4"/>
      <c r="G51" s="4"/>
      <c r="H51" s="4"/>
      <c r="I51" s="4"/>
      <c r="J51" s="4"/>
      <c r="K51" s="4"/>
    </row>
    <row r="52" spans="2:11" ht="21.75" customHeight="1" x14ac:dyDescent="0.25">
      <c r="B52" s="3"/>
      <c r="C52" s="3"/>
      <c r="D52" s="3"/>
      <c r="E52" s="3"/>
      <c r="F52" s="3"/>
      <c r="G52" s="3"/>
      <c r="H52" s="3"/>
      <c r="I52" s="3"/>
      <c r="J52" s="3"/>
      <c r="K52" s="3"/>
    </row>
    <row r="53" spans="2:11" ht="21.75" customHeight="1" x14ac:dyDescent="0.25">
      <c r="B53" s="3"/>
      <c r="C53" s="3"/>
      <c r="D53" s="3"/>
      <c r="E53" s="3"/>
      <c r="F53" s="3"/>
      <c r="G53" s="3"/>
      <c r="H53" s="3"/>
      <c r="I53" s="3"/>
      <c r="J53" s="3"/>
      <c r="K53" s="3"/>
    </row>
    <row r="55" spans="2:11" ht="24.75" customHeight="1" x14ac:dyDescent="0.25">
      <c r="B55" s="10" t="s">
        <v>67</v>
      </c>
      <c r="C55" s="10"/>
      <c r="D55" s="10"/>
      <c r="E55" s="10"/>
      <c r="F55" s="10"/>
      <c r="G55" s="10"/>
      <c r="H55" s="10"/>
      <c r="I55" s="10"/>
      <c r="J55" s="10"/>
      <c r="K55" s="10"/>
    </row>
    <row r="56" spans="2:11" ht="19.5" customHeight="1" x14ac:dyDescent="0.25">
      <c r="B56" s="3"/>
      <c r="C56" s="3"/>
      <c r="D56" s="3"/>
      <c r="E56" s="3"/>
      <c r="F56" s="3"/>
      <c r="G56" s="3"/>
      <c r="H56" s="3"/>
      <c r="I56" s="3"/>
      <c r="J56" s="3"/>
      <c r="K56" s="3"/>
    </row>
    <row r="57" spans="2:11" ht="19.5" customHeight="1" x14ac:dyDescent="0.25">
      <c r="B57" s="3"/>
      <c r="C57" s="3"/>
      <c r="D57" s="3"/>
      <c r="E57" s="3"/>
      <c r="F57" s="3"/>
      <c r="G57" s="3"/>
      <c r="H57" s="3"/>
      <c r="I57" s="3"/>
      <c r="J57" s="3"/>
      <c r="K57" s="3"/>
    </row>
    <row r="58" spans="2:11" ht="19.5" customHeight="1" x14ac:dyDescent="0.25">
      <c r="B58" s="3"/>
      <c r="C58" s="3"/>
      <c r="D58" s="3"/>
      <c r="E58" s="3"/>
      <c r="F58" s="3"/>
      <c r="G58" s="3"/>
      <c r="H58" s="3"/>
      <c r="I58" s="3"/>
      <c r="J58" s="3"/>
      <c r="K58" s="3"/>
    </row>
    <row r="59" spans="2:11" ht="19.5" customHeight="1" x14ac:dyDescent="0.25">
      <c r="B59" s="3"/>
      <c r="C59" s="3"/>
      <c r="D59" s="3"/>
      <c r="E59" s="3"/>
      <c r="F59" s="3"/>
      <c r="G59" s="3"/>
      <c r="H59" s="3"/>
      <c r="I59" s="3"/>
      <c r="J59" s="3"/>
      <c r="K59" s="3"/>
    </row>
    <row r="60" spans="2:11" ht="19.5" customHeight="1" x14ac:dyDescent="0.25">
      <c r="B60" s="3"/>
      <c r="C60" s="3"/>
      <c r="D60" s="3"/>
      <c r="E60" s="3"/>
      <c r="F60" s="3"/>
      <c r="G60" s="3"/>
      <c r="H60" s="3"/>
      <c r="I60" s="3"/>
      <c r="J60" s="3"/>
      <c r="K60" s="3"/>
    </row>
    <row r="61" spans="2:11" ht="19.5" customHeight="1" x14ac:dyDescent="0.25">
      <c r="B61" s="3"/>
      <c r="C61" s="3"/>
      <c r="D61" s="3"/>
      <c r="E61" s="3"/>
      <c r="F61" s="3"/>
      <c r="G61" s="3"/>
      <c r="H61" s="3"/>
      <c r="I61" s="3"/>
      <c r="J61" s="3"/>
      <c r="K61" s="3"/>
    </row>
    <row r="62" spans="2:11" ht="19.5" customHeight="1" x14ac:dyDescent="0.25">
      <c r="B62" s="3"/>
      <c r="C62" s="3"/>
      <c r="D62" s="3"/>
      <c r="E62" s="3"/>
      <c r="F62" s="3"/>
      <c r="G62" s="3"/>
      <c r="H62" s="3"/>
      <c r="I62" s="3"/>
      <c r="J62" s="3"/>
      <c r="K62" s="3"/>
    </row>
    <row r="63" spans="2:11" ht="19.5" customHeight="1" x14ac:dyDescent="0.25">
      <c r="B63" s="3"/>
      <c r="C63" s="3"/>
      <c r="D63" s="3"/>
      <c r="E63" s="3"/>
      <c r="F63" s="3"/>
      <c r="G63" s="3"/>
      <c r="H63" s="3"/>
      <c r="I63" s="3"/>
      <c r="J63" s="3"/>
      <c r="K63" s="3"/>
    </row>
    <row r="64" spans="2:11" ht="19.5" customHeight="1" x14ac:dyDescent="0.25">
      <c r="B64" s="3"/>
      <c r="C64" s="3"/>
      <c r="D64" s="3"/>
      <c r="E64" s="3"/>
      <c r="F64" s="3"/>
      <c r="G64" s="3"/>
      <c r="H64" s="3"/>
      <c r="I64" s="3"/>
      <c r="J64" s="3"/>
      <c r="K64" s="3"/>
    </row>
    <row r="65" spans="2:11" ht="19.5" customHeight="1" x14ac:dyDescent="0.25">
      <c r="B65" s="3"/>
      <c r="C65" s="3"/>
      <c r="D65" s="3"/>
      <c r="E65" s="3"/>
      <c r="F65" s="3"/>
      <c r="G65" s="3"/>
      <c r="H65" s="3"/>
      <c r="I65" s="3"/>
      <c r="J65" s="3"/>
      <c r="K65" s="3"/>
    </row>
  </sheetData>
  <mergeCells count="46">
    <mergeCell ref="B65:K65"/>
    <mergeCell ref="B60:K60"/>
    <mergeCell ref="B61:K61"/>
    <mergeCell ref="B62:K62"/>
    <mergeCell ref="B63:K63"/>
    <mergeCell ref="B64:K64"/>
    <mergeCell ref="B55:K55"/>
    <mergeCell ref="B56:K56"/>
    <mergeCell ref="B57:K57"/>
    <mergeCell ref="B58:K58"/>
    <mergeCell ref="B59:K59"/>
    <mergeCell ref="B49:K49"/>
    <mergeCell ref="B50:K50"/>
    <mergeCell ref="C51:K51"/>
    <mergeCell ref="B52:K52"/>
    <mergeCell ref="B53:K53"/>
    <mergeCell ref="B44:K44"/>
    <mergeCell ref="C45:K45"/>
    <mergeCell ref="B46:K46"/>
    <mergeCell ref="B47:K47"/>
    <mergeCell ref="C48:K48"/>
    <mergeCell ref="B29:K29"/>
    <mergeCell ref="B30:K30"/>
    <mergeCell ref="B31:K31"/>
    <mergeCell ref="B33:K33"/>
    <mergeCell ref="B34:K34"/>
    <mergeCell ref="B24:K24"/>
    <mergeCell ref="B25:K25"/>
    <mergeCell ref="B26:K26"/>
    <mergeCell ref="B27:K27"/>
    <mergeCell ref="B28:K28"/>
    <mergeCell ref="B18:K18"/>
    <mergeCell ref="C19:K19"/>
    <mergeCell ref="B20:K20"/>
    <mergeCell ref="B21:K21"/>
    <mergeCell ref="B23:K23"/>
    <mergeCell ref="C13:K13"/>
    <mergeCell ref="B14:K14"/>
    <mergeCell ref="B15:K15"/>
    <mergeCell ref="C16:K16"/>
    <mergeCell ref="B17:K17"/>
    <mergeCell ref="B1:K1"/>
    <mergeCell ref="B2:K2"/>
    <mergeCell ref="B3:K3"/>
    <mergeCell ref="B4:K4"/>
    <mergeCell ref="B12:K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4B5"/>
  </sheetPr>
  <dimension ref="B1:K56"/>
  <sheetViews>
    <sheetView showGridLines="0" topLeftCell="A16" zoomScaleNormal="100" workbookViewId="0"/>
  </sheetViews>
  <sheetFormatPr baseColWidth="10" defaultColWidth="8.7109375" defaultRowHeight="15" x14ac:dyDescent="0.25"/>
  <cols>
    <col min="1" max="1" width="4" customWidth="1"/>
    <col min="2" max="2" width="22.7109375" customWidth="1"/>
    <col min="3" max="3" width="30" customWidth="1"/>
    <col min="4" max="4" width="34.28515625" customWidth="1"/>
    <col min="5" max="11" width="14" customWidth="1"/>
  </cols>
  <sheetData>
    <row r="1" spans="2:11" ht="30" customHeight="1" x14ac:dyDescent="0.25">
      <c r="B1" s="6" t="s">
        <v>68</v>
      </c>
      <c r="C1" s="6"/>
      <c r="D1" s="6"/>
      <c r="E1" s="6"/>
      <c r="F1" s="6"/>
      <c r="G1" s="6"/>
      <c r="H1" s="6"/>
      <c r="I1" s="6"/>
      <c r="J1" s="6"/>
      <c r="K1" s="6"/>
    </row>
    <row r="2" spans="2:11" ht="54.75" customHeight="1" x14ac:dyDescent="0.25">
      <c r="B2" s="7" t="s">
        <v>69</v>
      </c>
      <c r="C2" s="7"/>
      <c r="D2" s="7"/>
      <c r="E2" s="7"/>
      <c r="F2" s="7"/>
      <c r="G2" s="7"/>
      <c r="H2" s="7"/>
      <c r="I2" s="7"/>
      <c r="J2" s="7"/>
      <c r="K2" s="7"/>
    </row>
    <row r="3" spans="2:11" ht="24.75" customHeight="1" x14ac:dyDescent="0.25">
      <c r="B3" s="10" t="s">
        <v>70</v>
      </c>
      <c r="C3" s="10"/>
      <c r="D3" s="10"/>
      <c r="E3" s="10"/>
      <c r="F3" s="10"/>
      <c r="G3" s="10"/>
      <c r="H3" s="10"/>
      <c r="I3" s="10"/>
      <c r="J3" s="10"/>
      <c r="K3" s="10"/>
    </row>
    <row r="4" spans="2:11" ht="18" customHeight="1" x14ac:dyDescent="0.25">
      <c r="B4" s="5" t="s">
        <v>71</v>
      </c>
      <c r="C4" s="5"/>
      <c r="D4" s="5"/>
      <c r="E4" s="5"/>
      <c r="F4" s="5"/>
      <c r="G4" s="5"/>
      <c r="H4" s="5"/>
      <c r="I4" s="5"/>
      <c r="J4" s="5"/>
      <c r="K4" s="5"/>
    </row>
    <row r="5" spans="2:11" ht="18" customHeight="1" x14ac:dyDescent="0.25">
      <c r="B5" s="22" t="s">
        <v>72</v>
      </c>
      <c r="C5" s="4" t="s">
        <v>73</v>
      </c>
      <c r="D5" s="4"/>
      <c r="E5" s="4"/>
      <c r="F5" s="4"/>
      <c r="G5" s="4"/>
      <c r="H5" s="4"/>
      <c r="I5" s="4"/>
      <c r="J5" s="4"/>
      <c r="K5" s="4"/>
    </row>
    <row r="6" spans="2:11" ht="21.75" customHeight="1" x14ac:dyDescent="0.25">
      <c r="B6" s="3"/>
      <c r="C6" s="3"/>
      <c r="D6" s="3"/>
      <c r="E6" s="3"/>
      <c r="F6" s="3"/>
      <c r="G6" s="3"/>
      <c r="H6" s="3"/>
      <c r="I6" s="3"/>
      <c r="J6" s="3"/>
      <c r="K6" s="3"/>
    </row>
    <row r="7" spans="2:11" ht="21.75" customHeight="1" x14ac:dyDescent="0.25">
      <c r="B7" s="3"/>
      <c r="C7" s="3"/>
      <c r="D7" s="3"/>
      <c r="E7" s="3"/>
      <c r="F7" s="3"/>
      <c r="G7" s="3"/>
      <c r="H7" s="3"/>
      <c r="I7" s="3"/>
      <c r="J7" s="3"/>
      <c r="K7" s="3"/>
    </row>
    <row r="8" spans="2:11" ht="18" customHeight="1" x14ac:dyDescent="0.25">
      <c r="B8" s="22" t="s">
        <v>74</v>
      </c>
      <c r="C8" s="4" t="s">
        <v>75</v>
      </c>
      <c r="D8" s="4"/>
      <c r="E8" s="4"/>
      <c r="F8" s="4"/>
      <c r="G8" s="4"/>
      <c r="H8" s="4"/>
      <c r="I8" s="4"/>
      <c r="J8" s="4"/>
      <c r="K8" s="4"/>
    </row>
    <row r="9" spans="2:11" ht="21.75" customHeight="1" x14ac:dyDescent="0.25">
      <c r="B9" s="3"/>
      <c r="C9" s="3"/>
      <c r="D9" s="3"/>
      <c r="E9" s="3"/>
      <c r="F9" s="3"/>
      <c r="G9" s="3"/>
      <c r="H9" s="3"/>
      <c r="I9" s="3"/>
      <c r="J9" s="3"/>
      <c r="K9" s="3"/>
    </row>
    <row r="10" spans="2:11" ht="21.75" customHeight="1" x14ac:dyDescent="0.25">
      <c r="B10" s="3"/>
      <c r="C10" s="3"/>
      <c r="D10" s="3"/>
      <c r="E10" s="3"/>
      <c r="F10" s="3"/>
      <c r="G10" s="3"/>
      <c r="H10" s="3"/>
      <c r="I10" s="3"/>
      <c r="J10" s="3"/>
      <c r="K10" s="3"/>
    </row>
    <row r="11" spans="2:11" ht="18" customHeight="1" x14ac:dyDescent="0.25">
      <c r="B11" s="22" t="s">
        <v>76</v>
      </c>
      <c r="C11" s="4" t="s">
        <v>77</v>
      </c>
      <c r="D11" s="4"/>
      <c r="E11" s="4"/>
      <c r="F11" s="4"/>
      <c r="G11" s="4"/>
      <c r="H11" s="4"/>
      <c r="I11" s="4"/>
      <c r="J11" s="4"/>
      <c r="K11" s="4"/>
    </row>
    <row r="12" spans="2:11" ht="21.75" customHeight="1" x14ac:dyDescent="0.25">
      <c r="B12" s="3"/>
      <c r="C12" s="3"/>
      <c r="D12" s="3"/>
      <c r="E12" s="3"/>
      <c r="F12" s="3"/>
      <c r="G12" s="3"/>
      <c r="H12" s="3"/>
      <c r="I12" s="3"/>
      <c r="J12" s="3"/>
      <c r="K12" s="3"/>
    </row>
    <row r="13" spans="2:11" ht="21.75" customHeight="1" x14ac:dyDescent="0.25">
      <c r="B13" s="3"/>
      <c r="C13" s="3"/>
      <c r="D13" s="3"/>
      <c r="E13" s="3"/>
      <c r="F13" s="3"/>
      <c r="G13" s="3"/>
      <c r="H13" s="3"/>
      <c r="I13" s="3"/>
      <c r="J13" s="3"/>
      <c r="K13" s="3"/>
    </row>
    <row r="15" spans="2:11" ht="21.75" customHeight="1" x14ac:dyDescent="0.25">
      <c r="B15" s="10" t="s">
        <v>78</v>
      </c>
      <c r="C15" s="10"/>
      <c r="D15" s="10"/>
      <c r="E15" s="10"/>
      <c r="F15" s="10"/>
      <c r="G15" s="10"/>
      <c r="H15" s="10"/>
      <c r="I15" s="10"/>
      <c r="J15" s="10"/>
      <c r="K15" s="10"/>
    </row>
    <row r="16" spans="2:11" ht="21.75" customHeight="1" x14ac:dyDescent="0.25">
      <c r="B16" s="15" t="s">
        <v>79</v>
      </c>
      <c r="C16" s="15" t="s">
        <v>80</v>
      </c>
      <c r="D16" s="15" t="s">
        <v>81</v>
      </c>
      <c r="E16" s="15" t="s">
        <v>82</v>
      </c>
    </row>
    <row r="17" spans="2:11" ht="21.75" customHeight="1" x14ac:dyDescent="0.25">
      <c r="B17" s="16" t="s">
        <v>83</v>
      </c>
      <c r="C17" s="16" t="s">
        <v>84</v>
      </c>
      <c r="D17" s="24"/>
      <c r="E17" s="16"/>
    </row>
    <row r="18" spans="2:11" ht="21.75" customHeight="1" x14ac:dyDescent="0.25">
      <c r="B18" s="19" t="s">
        <v>85</v>
      </c>
      <c r="C18" s="19" t="s">
        <v>86</v>
      </c>
      <c r="D18" s="24"/>
      <c r="E18" s="19" t="s">
        <v>87</v>
      </c>
    </row>
    <row r="19" spans="2:11" ht="21.75" customHeight="1" x14ac:dyDescent="0.25">
      <c r="B19" s="16" t="s">
        <v>88</v>
      </c>
      <c r="C19" s="16" t="s">
        <v>89</v>
      </c>
      <c r="D19" s="24"/>
      <c r="E19" s="16" t="s">
        <v>90</v>
      </c>
    </row>
    <row r="21" spans="2:11" ht="24.75" customHeight="1" x14ac:dyDescent="0.25">
      <c r="B21" s="10" t="s">
        <v>91</v>
      </c>
      <c r="C21" s="10"/>
      <c r="D21" s="10"/>
      <c r="E21" s="10"/>
      <c r="F21" s="10"/>
      <c r="G21" s="10"/>
      <c r="H21" s="10"/>
      <c r="I21" s="10"/>
      <c r="J21" s="10"/>
      <c r="K21" s="10"/>
    </row>
    <row r="22" spans="2:11" ht="39.75" customHeight="1" x14ac:dyDescent="0.25">
      <c r="B22" s="2" t="s">
        <v>92</v>
      </c>
      <c r="C22" s="2"/>
      <c r="D22" s="2"/>
      <c r="E22" s="2"/>
      <c r="F22" s="2"/>
      <c r="G22" s="2"/>
      <c r="H22" s="2"/>
      <c r="I22" s="2"/>
      <c r="J22" s="2"/>
      <c r="K22" s="2"/>
    </row>
    <row r="23" spans="2:11" ht="18" customHeight="1" x14ac:dyDescent="0.25">
      <c r="B23" s="22" t="s">
        <v>93</v>
      </c>
      <c r="C23" s="4" t="s">
        <v>94</v>
      </c>
      <c r="D23" s="4"/>
      <c r="E23" s="4"/>
      <c r="F23" s="4"/>
      <c r="G23" s="4"/>
      <c r="H23" s="4"/>
      <c r="I23" s="4"/>
      <c r="J23" s="4"/>
      <c r="K23" s="4"/>
    </row>
    <row r="24" spans="2:11" ht="21.75" customHeight="1" x14ac:dyDescent="0.25">
      <c r="B24" s="3"/>
      <c r="C24" s="3"/>
      <c r="D24" s="3"/>
      <c r="E24" s="3"/>
      <c r="F24" s="3"/>
      <c r="G24" s="3"/>
      <c r="H24" s="3"/>
      <c r="I24" s="3"/>
      <c r="J24" s="3"/>
      <c r="K24" s="3"/>
    </row>
    <row r="25" spans="2:11" ht="21.75" customHeight="1" x14ac:dyDescent="0.25">
      <c r="B25" s="3"/>
      <c r="C25" s="3"/>
      <c r="D25" s="3"/>
      <c r="E25" s="3"/>
      <c r="F25" s="3"/>
      <c r="G25" s="3"/>
      <c r="H25" s="3"/>
      <c r="I25" s="3"/>
      <c r="J25" s="3"/>
      <c r="K25" s="3"/>
    </row>
    <row r="26" spans="2:11" ht="21.75" customHeight="1" x14ac:dyDescent="0.25">
      <c r="B26" s="3"/>
      <c r="C26" s="3"/>
      <c r="D26" s="3"/>
      <c r="E26" s="3"/>
      <c r="F26" s="3"/>
      <c r="G26" s="3"/>
      <c r="H26" s="3"/>
      <c r="I26" s="3"/>
      <c r="J26" s="3"/>
      <c r="K26" s="3"/>
    </row>
    <row r="27" spans="2:11" ht="18" customHeight="1" x14ac:dyDescent="0.25">
      <c r="B27" s="22" t="s">
        <v>95</v>
      </c>
      <c r="C27" s="4" t="s">
        <v>96</v>
      </c>
      <c r="D27" s="4"/>
      <c r="E27" s="4"/>
      <c r="F27" s="4"/>
      <c r="G27" s="4"/>
      <c r="H27" s="4"/>
      <c r="I27" s="4"/>
      <c r="J27" s="4"/>
      <c r="K27" s="4"/>
    </row>
    <row r="28" spans="2:11" ht="21.75" customHeight="1" x14ac:dyDescent="0.25">
      <c r="B28" s="3"/>
      <c r="C28" s="3"/>
      <c r="D28" s="3"/>
      <c r="E28" s="3"/>
      <c r="F28" s="3"/>
      <c r="G28" s="3"/>
      <c r="H28" s="3"/>
      <c r="I28" s="3"/>
      <c r="J28" s="3"/>
      <c r="K28" s="3"/>
    </row>
    <row r="29" spans="2:11" ht="21.75" customHeight="1" x14ac:dyDescent="0.25">
      <c r="B29" s="3"/>
      <c r="C29" s="3"/>
      <c r="D29" s="3"/>
      <c r="E29" s="3"/>
      <c r="F29" s="3"/>
      <c r="G29" s="3"/>
      <c r="H29" s="3"/>
      <c r="I29" s="3"/>
      <c r="J29" s="3"/>
      <c r="K29" s="3"/>
    </row>
    <row r="30" spans="2:11" ht="21.75" customHeight="1" x14ac:dyDescent="0.25">
      <c r="B30" s="3"/>
      <c r="C30" s="3"/>
      <c r="D30" s="3"/>
      <c r="E30" s="3"/>
      <c r="F30" s="3"/>
      <c r="G30" s="3"/>
      <c r="H30" s="3"/>
      <c r="I30" s="3"/>
      <c r="J30" s="3"/>
      <c r="K30" s="3"/>
    </row>
    <row r="31" spans="2:11" ht="18" customHeight="1" x14ac:dyDescent="0.25">
      <c r="B31" s="22" t="s">
        <v>97</v>
      </c>
      <c r="C31" s="4" t="s">
        <v>98</v>
      </c>
      <c r="D31" s="4"/>
      <c r="E31" s="4"/>
      <c r="F31" s="4"/>
      <c r="G31" s="4"/>
      <c r="H31" s="4"/>
      <c r="I31" s="4"/>
      <c r="J31" s="4"/>
      <c r="K31" s="4"/>
    </row>
    <row r="32" spans="2:11" ht="21.75" customHeight="1" x14ac:dyDescent="0.25">
      <c r="B32" s="3"/>
      <c r="C32" s="3"/>
      <c r="D32" s="3"/>
      <c r="E32" s="3"/>
      <c r="F32" s="3"/>
      <c r="G32" s="3"/>
      <c r="H32" s="3"/>
      <c r="I32" s="3"/>
      <c r="J32" s="3"/>
      <c r="K32" s="3"/>
    </row>
    <row r="33" spans="2:11" ht="21.75" customHeight="1" x14ac:dyDescent="0.25">
      <c r="B33" s="3"/>
      <c r="C33" s="3"/>
      <c r="D33" s="3"/>
      <c r="E33" s="3"/>
      <c r="F33" s="3"/>
      <c r="G33" s="3"/>
      <c r="H33" s="3"/>
      <c r="I33" s="3"/>
      <c r="J33" s="3"/>
      <c r="K33" s="3"/>
    </row>
    <row r="34" spans="2:11" ht="21.75" customHeight="1" x14ac:dyDescent="0.25">
      <c r="B34" s="3"/>
      <c r="C34" s="3"/>
      <c r="D34" s="3"/>
      <c r="E34" s="3"/>
      <c r="F34" s="3"/>
      <c r="G34" s="3"/>
      <c r="H34" s="3"/>
      <c r="I34" s="3"/>
      <c r="J34" s="3"/>
      <c r="K34" s="3"/>
    </row>
    <row r="35" spans="2:11" ht="18" customHeight="1" x14ac:dyDescent="0.25">
      <c r="B35" s="22" t="s">
        <v>99</v>
      </c>
      <c r="C35" s="4" t="s">
        <v>100</v>
      </c>
      <c r="D35" s="4"/>
      <c r="E35" s="4"/>
      <c r="F35" s="4"/>
      <c r="G35" s="4"/>
      <c r="H35" s="4"/>
      <c r="I35" s="4"/>
      <c r="J35" s="4"/>
      <c r="K35" s="4"/>
    </row>
    <row r="36" spans="2:11" ht="21.75" customHeight="1" x14ac:dyDescent="0.25">
      <c r="B36" s="3"/>
      <c r="C36" s="3"/>
      <c r="D36" s="3"/>
      <c r="E36" s="3"/>
      <c r="F36" s="3"/>
      <c r="G36" s="3"/>
      <c r="H36" s="3"/>
      <c r="I36" s="3"/>
      <c r="J36" s="3"/>
      <c r="K36" s="3"/>
    </row>
    <row r="37" spans="2:11" ht="21.75" customHeight="1" x14ac:dyDescent="0.25">
      <c r="B37" s="3"/>
      <c r="C37" s="3"/>
      <c r="D37" s="3"/>
      <c r="E37" s="3"/>
      <c r="F37" s="3"/>
      <c r="G37" s="3"/>
      <c r="H37" s="3"/>
      <c r="I37" s="3"/>
      <c r="J37" s="3"/>
      <c r="K37" s="3"/>
    </row>
    <row r="38" spans="2:11" ht="21.75" customHeight="1" x14ac:dyDescent="0.25">
      <c r="B38" s="3"/>
      <c r="C38" s="3"/>
      <c r="D38" s="3"/>
      <c r="E38" s="3"/>
      <c r="F38" s="3"/>
      <c r="G38" s="3"/>
      <c r="H38" s="3"/>
      <c r="I38" s="3"/>
      <c r="J38" s="3"/>
      <c r="K38" s="3"/>
    </row>
    <row r="39" spans="2:11" ht="18" customHeight="1" x14ac:dyDescent="0.25">
      <c r="B39" s="22" t="s">
        <v>101</v>
      </c>
      <c r="C39" s="4" t="s">
        <v>102</v>
      </c>
      <c r="D39" s="4"/>
      <c r="E39" s="4"/>
      <c r="F39" s="4"/>
      <c r="G39" s="4"/>
      <c r="H39" s="4"/>
      <c r="I39" s="4"/>
      <c r="J39" s="4"/>
      <c r="K39" s="4"/>
    </row>
    <row r="40" spans="2:11" ht="21.75" customHeight="1" x14ac:dyDescent="0.25">
      <c r="B40" s="3"/>
      <c r="C40" s="3"/>
      <c r="D40" s="3"/>
      <c r="E40" s="3"/>
      <c r="F40" s="3"/>
      <c r="G40" s="3"/>
      <c r="H40" s="3"/>
      <c r="I40" s="3"/>
      <c r="J40" s="3"/>
      <c r="K40" s="3"/>
    </row>
    <row r="41" spans="2:11" ht="21.75" customHeight="1" x14ac:dyDescent="0.25">
      <c r="B41" s="3"/>
      <c r="C41" s="3"/>
      <c r="D41" s="3"/>
      <c r="E41" s="3"/>
      <c r="F41" s="3"/>
      <c r="G41" s="3"/>
      <c r="H41" s="3"/>
      <c r="I41" s="3"/>
      <c r="J41" s="3"/>
      <c r="K41" s="3"/>
    </row>
    <row r="42" spans="2:11" ht="21.75" customHeight="1" x14ac:dyDescent="0.25">
      <c r="B42" s="3"/>
      <c r="C42" s="3"/>
      <c r="D42" s="3"/>
      <c r="E42" s="3"/>
      <c r="F42" s="3"/>
      <c r="G42" s="3"/>
      <c r="H42" s="3"/>
      <c r="I42" s="3"/>
      <c r="J42" s="3"/>
      <c r="K42" s="3"/>
    </row>
    <row r="44" spans="2:11" ht="24.75" customHeight="1" x14ac:dyDescent="0.25">
      <c r="B44" s="10" t="s">
        <v>103</v>
      </c>
      <c r="C44" s="10"/>
      <c r="D44" s="10"/>
      <c r="E44" s="10"/>
      <c r="F44" s="10"/>
      <c r="G44" s="10"/>
      <c r="H44" s="10"/>
      <c r="I44" s="10"/>
      <c r="J44" s="10"/>
      <c r="K44" s="10"/>
    </row>
    <row r="45" spans="2:11" ht="19.5" customHeight="1" x14ac:dyDescent="0.25">
      <c r="B45" s="3"/>
      <c r="C45" s="3"/>
      <c r="D45" s="3"/>
      <c r="E45" s="3"/>
      <c r="F45" s="3"/>
      <c r="G45" s="3"/>
      <c r="H45" s="3"/>
      <c r="I45" s="3"/>
      <c r="J45" s="3"/>
      <c r="K45" s="3"/>
    </row>
    <row r="46" spans="2:11" ht="19.5" customHeight="1" x14ac:dyDescent="0.25">
      <c r="B46" s="3"/>
      <c r="C46" s="3"/>
      <c r="D46" s="3"/>
      <c r="E46" s="3"/>
      <c r="F46" s="3"/>
      <c r="G46" s="3"/>
      <c r="H46" s="3"/>
      <c r="I46" s="3"/>
      <c r="J46" s="3"/>
      <c r="K46" s="3"/>
    </row>
    <row r="47" spans="2:11" ht="19.5" customHeight="1" x14ac:dyDescent="0.25">
      <c r="B47" s="3"/>
      <c r="C47" s="3"/>
      <c r="D47" s="3"/>
      <c r="E47" s="3"/>
      <c r="F47" s="3"/>
      <c r="G47" s="3"/>
      <c r="H47" s="3"/>
      <c r="I47" s="3"/>
      <c r="J47" s="3"/>
      <c r="K47" s="3"/>
    </row>
    <row r="48" spans="2:11" ht="19.5" customHeight="1" x14ac:dyDescent="0.25">
      <c r="B48" s="3"/>
      <c r="C48" s="3"/>
      <c r="D48" s="3"/>
      <c r="E48" s="3"/>
      <c r="F48" s="3"/>
      <c r="G48" s="3"/>
      <c r="H48" s="3"/>
      <c r="I48" s="3"/>
      <c r="J48" s="3"/>
      <c r="K48" s="3"/>
    </row>
    <row r="49" spans="2:11" ht="19.5" customHeight="1" x14ac:dyDescent="0.25">
      <c r="B49" s="3"/>
      <c r="C49" s="3"/>
      <c r="D49" s="3"/>
      <c r="E49" s="3"/>
      <c r="F49" s="3"/>
      <c r="G49" s="3"/>
      <c r="H49" s="3"/>
      <c r="I49" s="3"/>
      <c r="J49" s="3"/>
      <c r="K49" s="3"/>
    </row>
    <row r="50" spans="2:11" ht="19.5" customHeight="1" x14ac:dyDescent="0.25">
      <c r="B50" s="3"/>
      <c r="C50" s="3"/>
      <c r="D50" s="3"/>
      <c r="E50" s="3"/>
      <c r="F50" s="3"/>
      <c r="G50" s="3"/>
      <c r="H50" s="3"/>
      <c r="I50" s="3"/>
      <c r="J50" s="3"/>
      <c r="K50" s="3"/>
    </row>
    <row r="51" spans="2:11" ht="19.5" customHeight="1" x14ac:dyDescent="0.25">
      <c r="B51" s="3"/>
      <c r="C51" s="3"/>
      <c r="D51" s="3"/>
      <c r="E51" s="3"/>
      <c r="F51" s="3"/>
      <c r="G51" s="3"/>
      <c r="H51" s="3"/>
      <c r="I51" s="3"/>
      <c r="J51" s="3"/>
      <c r="K51" s="3"/>
    </row>
    <row r="52" spans="2:11" ht="19.5" customHeight="1" x14ac:dyDescent="0.25">
      <c r="B52" s="3"/>
      <c r="C52" s="3"/>
      <c r="D52" s="3"/>
      <c r="E52" s="3"/>
      <c r="F52" s="3"/>
      <c r="G52" s="3"/>
      <c r="H52" s="3"/>
      <c r="I52" s="3"/>
      <c r="J52" s="3"/>
      <c r="K52" s="3"/>
    </row>
    <row r="53" spans="2:11" ht="19.5" customHeight="1" x14ac:dyDescent="0.25">
      <c r="B53" s="3"/>
      <c r="C53" s="3"/>
      <c r="D53" s="3"/>
      <c r="E53" s="3"/>
      <c r="F53" s="3"/>
      <c r="G53" s="3"/>
      <c r="H53" s="3"/>
      <c r="I53" s="3"/>
      <c r="J53" s="3"/>
      <c r="K53" s="3"/>
    </row>
    <row r="54" spans="2:11" ht="19.5" customHeight="1" x14ac:dyDescent="0.25">
      <c r="B54" s="3"/>
      <c r="C54" s="3"/>
      <c r="D54" s="3"/>
      <c r="E54" s="3"/>
      <c r="F54" s="3"/>
      <c r="G54" s="3"/>
      <c r="H54" s="3"/>
      <c r="I54" s="3"/>
      <c r="J54" s="3"/>
      <c r="K54" s="3"/>
    </row>
    <row r="55" spans="2:11" ht="19.5" customHeight="1" x14ac:dyDescent="0.25">
      <c r="B55" s="3"/>
      <c r="C55" s="3"/>
      <c r="D55" s="3"/>
      <c r="E55" s="3"/>
      <c r="F55" s="3"/>
      <c r="G55" s="3"/>
      <c r="H55" s="3"/>
      <c r="I55" s="3"/>
      <c r="J55" s="3"/>
      <c r="K55" s="3"/>
    </row>
    <row r="56" spans="2:11" ht="19.5" customHeight="1" x14ac:dyDescent="0.25">
      <c r="B56" s="3"/>
      <c r="C56" s="3"/>
      <c r="D56" s="3"/>
      <c r="E56" s="3"/>
      <c r="F56" s="3"/>
      <c r="G56" s="3"/>
      <c r="H56" s="3"/>
      <c r="I56" s="3"/>
      <c r="J56" s="3"/>
      <c r="K56" s="3"/>
    </row>
  </sheetData>
  <mergeCells count="49">
    <mergeCell ref="B53:K53"/>
    <mergeCell ref="B54:K54"/>
    <mergeCell ref="B55:K55"/>
    <mergeCell ref="B56:K56"/>
    <mergeCell ref="B48:K48"/>
    <mergeCell ref="B49:K49"/>
    <mergeCell ref="B50:K50"/>
    <mergeCell ref="B51:K51"/>
    <mergeCell ref="B52:K52"/>
    <mergeCell ref="B42:K42"/>
    <mergeCell ref="B44:K44"/>
    <mergeCell ref="B45:K45"/>
    <mergeCell ref="B46:K46"/>
    <mergeCell ref="B47:K47"/>
    <mergeCell ref="B37:K37"/>
    <mergeCell ref="B38:K38"/>
    <mergeCell ref="C39:K39"/>
    <mergeCell ref="B40:K40"/>
    <mergeCell ref="B41:K41"/>
    <mergeCell ref="B32:K32"/>
    <mergeCell ref="B33:K33"/>
    <mergeCell ref="B34:K34"/>
    <mergeCell ref="C35:K35"/>
    <mergeCell ref="B36:K36"/>
    <mergeCell ref="C27:K27"/>
    <mergeCell ref="B28:K28"/>
    <mergeCell ref="B29:K29"/>
    <mergeCell ref="B30:K30"/>
    <mergeCell ref="C31:K31"/>
    <mergeCell ref="B22:K22"/>
    <mergeCell ref="C23:K23"/>
    <mergeCell ref="B24:K24"/>
    <mergeCell ref="B25:K25"/>
    <mergeCell ref="B26:K26"/>
    <mergeCell ref="C11:K11"/>
    <mergeCell ref="B12:K12"/>
    <mergeCell ref="B13:K13"/>
    <mergeCell ref="B15:K15"/>
    <mergeCell ref="B21:K21"/>
    <mergeCell ref="B6:K6"/>
    <mergeCell ref="B7:K7"/>
    <mergeCell ref="C8:K8"/>
    <mergeCell ref="B9:K9"/>
    <mergeCell ref="B10:K10"/>
    <mergeCell ref="B1:K1"/>
    <mergeCell ref="B2:K2"/>
    <mergeCell ref="B3:K3"/>
    <mergeCell ref="B4:K4"/>
    <mergeCell ref="C5:K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E20"/>
  <sheetViews>
    <sheetView zoomScaleNormal="100" workbookViewId="0">
      <selection sqref="A1:E1"/>
    </sheetView>
  </sheetViews>
  <sheetFormatPr baseColWidth="10" defaultColWidth="8.7109375" defaultRowHeight="15" x14ac:dyDescent="0.25"/>
  <cols>
    <col min="1" max="1" width="6" customWidth="1"/>
    <col min="2" max="2" width="14" customWidth="1"/>
    <col min="3" max="3" width="32" customWidth="1"/>
    <col min="4" max="5" width="20" customWidth="1"/>
  </cols>
  <sheetData>
    <row r="1" spans="1:5" ht="30" customHeight="1" x14ac:dyDescent="0.25">
      <c r="A1" s="6" t="s">
        <v>104</v>
      </c>
      <c r="B1" s="6"/>
      <c r="C1" s="6"/>
      <c r="D1" s="6"/>
      <c r="E1" s="6"/>
    </row>
    <row r="2" spans="1:5" ht="54" customHeight="1" x14ac:dyDescent="0.25">
      <c r="A2" s="7" t="s">
        <v>105</v>
      </c>
      <c r="B2" s="7"/>
      <c r="C2" s="7"/>
      <c r="D2" s="7"/>
      <c r="E2" s="7"/>
    </row>
    <row r="3" spans="1:5" ht="21.75" customHeight="1" x14ac:dyDescent="0.25">
      <c r="A3" s="15" t="s">
        <v>106</v>
      </c>
      <c r="B3" s="15" t="s">
        <v>107</v>
      </c>
      <c r="C3" s="15" t="s">
        <v>108</v>
      </c>
      <c r="D3" s="15" t="s">
        <v>109</v>
      </c>
      <c r="E3" s="15" t="s">
        <v>110</v>
      </c>
    </row>
    <row r="4" spans="1:5" ht="19.5" customHeight="1" x14ac:dyDescent="0.25">
      <c r="A4" s="16">
        <v>1</v>
      </c>
      <c r="B4" s="27">
        <v>1420</v>
      </c>
      <c r="C4" s="28" t="s">
        <v>111</v>
      </c>
      <c r="D4" s="29">
        <f>(1-0.3)/(15+0.4)</f>
        <v>4.5454545454545449E-2</v>
      </c>
      <c r="E4" s="29">
        <f t="shared" ref="E4:E18" si="0">LN(B4)</f>
        <v>7.2584121505953068</v>
      </c>
    </row>
    <row r="5" spans="1:5" ht="19.5" customHeight="1" x14ac:dyDescent="0.25">
      <c r="A5" s="19">
        <v>2</v>
      </c>
      <c r="B5" s="30">
        <v>1685</v>
      </c>
      <c r="C5" s="31" t="s">
        <v>111</v>
      </c>
      <c r="D5" s="29">
        <f>(2-0.3)/(15+0.4)</f>
        <v>0.11038961038961038</v>
      </c>
      <c r="E5" s="29">
        <f t="shared" si="0"/>
        <v>7.4295208427864621</v>
      </c>
    </row>
    <row r="6" spans="1:5" ht="19.5" customHeight="1" x14ac:dyDescent="0.25">
      <c r="A6" s="16">
        <v>3</v>
      </c>
      <c r="B6" s="27">
        <v>1890</v>
      </c>
      <c r="C6" s="28" t="s">
        <v>111</v>
      </c>
      <c r="D6" s="29">
        <f>(3-0.3)/(15+0.4)</f>
        <v>0.17532467532467533</v>
      </c>
      <c r="E6" s="29">
        <f t="shared" si="0"/>
        <v>7.5443321080536885</v>
      </c>
    </row>
    <row r="7" spans="1:5" ht="19.5" customHeight="1" x14ac:dyDescent="0.25">
      <c r="A7" s="19">
        <v>4</v>
      </c>
      <c r="B7" s="30">
        <v>2105</v>
      </c>
      <c r="C7" s="31" t="s">
        <v>111</v>
      </c>
      <c r="D7" s="29">
        <f>(4-0.3)/(15+0.4)</f>
        <v>0.24025974025974026</v>
      </c>
      <c r="E7" s="29">
        <f t="shared" si="0"/>
        <v>7.6520707461164816</v>
      </c>
    </row>
    <row r="8" spans="1:5" ht="19.5" customHeight="1" x14ac:dyDescent="0.25">
      <c r="A8" s="16">
        <v>5</v>
      </c>
      <c r="B8" s="27">
        <v>2340</v>
      </c>
      <c r="C8" s="28" t="s">
        <v>111</v>
      </c>
      <c r="D8" s="29">
        <f>(5-0.3)/(15+0.4)</f>
        <v>0.30519480519480519</v>
      </c>
      <c r="E8" s="29">
        <f t="shared" si="0"/>
        <v>7.7579062083517467</v>
      </c>
    </row>
    <row r="9" spans="1:5" ht="19.5" customHeight="1" x14ac:dyDescent="0.25">
      <c r="A9" s="19">
        <v>6</v>
      </c>
      <c r="B9" s="30">
        <v>2510</v>
      </c>
      <c r="C9" s="31" t="s">
        <v>111</v>
      </c>
      <c r="D9" s="29">
        <f>(6-0.3)/(15+0.4)</f>
        <v>0.37012987012987014</v>
      </c>
      <c r="E9" s="29">
        <f t="shared" si="0"/>
        <v>7.8280380321258294</v>
      </c>
    </row>
    <row r="10" spans="1:5" ht="19.5" customHeight="1" x14ac:dyDescent="0.25">
      <c r="A10" s="16">
        <v>7</v>
      </c>
      <c r="B10" s="27">
        <v>2680</v>
      </c>
      <c r="C10" s="28" t="s">
        <v>111</v>
      </c>
      <c r="D10" s="29">
        <f>(7-0.3)/(15+0.4)</f>
        <v>0.43506493506493504</v>
      </c>
      <c r="E10" s="29">
        <f t="shared" si="0"/>
        <v>7.8935720735049024</v>
      </c>
    </row>
    <row r="11" spans="1:5" ht="19.5" customHeight="1" x14ac:dyDescent="0.25">
      <c r="A11" s="19">
        <v>8</v>
      </c>
      <c r="B11" s="30">
        <v>2890</v>
      </c>
      <c r="C11" s="31" t="s">
        <v>111</v>
      </c>
      <c r="D11" s="29">
        <f>(8-0.3)/(15+0.4)</f>
        <v>0.5</v>
      </c>
      <c r="E11" s="29">
        <f t="shared" si="0"/>
        <v>7.9690117811064782</v>
      </c>
    </row>
    <row r="12" spans="1:5" ht="19.5" customHeight="1" x14ac:dyDescent="0.25">
      <c r="A12" s="16">
        <v>9</v>
      </c>
      <c r="B12" s="27">
        <v>3050</v>
      </c>
      <c r="C12" s="28" t="s">
        <v>111</v>
      </c>
      <c r="D12" s="29">
        <f>(9-0.3)/(15+0.4)</f>
        <v>0.56493506493506485</v>
      </c>
      <c r="E12" s="29">
        <f t="shared" si="0"/>
        <v>8.0228968696014569</v>
      </c>
    </row>
    <row r="13" spans="1:5" ht="19.5" customHeight="1" x14ac:dyDescent="0.25">
      <c r="A13" s="19">
        <v>10</v>
      </c>
      <c r="B13" s="30">
        <v>3280</v>
      </c>
      <c r="C13" s="31" t="s">
        <v>111</v>
      </c>
      <c r="D13" s="29">
        <f>(10-0.3)/(15+0.4)</f>
        <v>0.6298701298701298</v>
      </c>
      <c r="E13" s="29">
        <f t="shared" si="0"/>
        <v>8.09559870137819</v>
      </c>
    </row>
    <row r="14" spans="1:5" ht="19.5" customHeight="1" x14ac:dyDescent="0.25">
      <c r="A14" s="16">
        <v>11</v>
      </c>
      <c r="B14" s="27">
        <v>3490</v>
      </c>
      <c r="C14" s="28" t="s">
        <v>111</v>
      </c>
      <c r="D14" s="29">
        <f>(11-0.3)/(15+0.4)</f>
        <v>0.69480519480519476</v>
      </c>
      <c r="E14" s="29">
        <f t="shared" si="0"/>
        <v>8.157657015196472</v>
      </c>
    </row>
    <row r="15" spans="1:5" ht="19.5" customHeight="1" x14ac:dyDescent="0.25">
      <c r="A15" s="19">
        <v>12</v>
      </c>
      <c r="B15" s="30">
        <v>3720</v>
      </c>
      <c r="C15" s="31" t="s">
        <v>111</v>
      </c>
      <c r="D15" s="29">
        <f>(12-0.3)/(15+0.4)</f>
        <v>0.75974025974025972</v>
      </c>
      <c r="E15" s="29">
        <f t="shared" si="0"/>
        <v>8.2214789472671921</v>
      </c>
    </row>
    <row r="16" spans="1:5" ht="19.5" customHeight="1" x14ac:dyDescent="0.25">
      <c r="A16" s="16">
        <v>13</v>
      </c>
      <c r="B16" s="27">
        <v>3980</v>
      </c>
      <c r="C16" s="28" t="s">
        <v>111</v>
      </c>
      <c r="D16" s="29">
        <f>(13-0.3)/(15+0.4)</f>
        <v>0.82467532467532456</v>
      </c>
      <c r="E16" s="29">
        <f t="shared" si="0"/>
        <v>8.2890370982784827</v>
      </c>
    </row>
    <row r="17" spans="1:5" ht="19.5" customHeight="1" x14ac:dyDescent="0.25">
      <c r="A17" s="19">
        <v>14</v>
      </c>
      <c r="B17" s="30">
        <v>4310</v>
      </c>
      <c r="C17" s="31" t="s">
        <v>111</v>
      </c>
      <c r="D17" s="29">
        <f>(14-0.3)/(15+0.4)</f>
        <v>0.88961038961038952</v>
      </c>
      <c r="E17" s="29">
        <f t="shared" si="0"/>
        <v>8.3686931830977933</v>
      </c>
    </row>
    <row r="18" spans="1:5" ht="19.5" customHeight="1" x14ac:dyDescent="0.25">
      <c r="A18" s="16">
        <v>15</v>
      </c>
      <c r="B18" s="27">
        <v>4750</v>
      </c>
      <c r="C18" s="28" t="s">
        <v>111</v>
      </c>
      <c r="D18" s="29">
        <f>(15-0.3)/(15+0.4)</f>
        <v>0.95454545454545447</v>
      </c>
      <c r="E18" s="29">
        <f t="shared" si="0"/>
        <v>8.4658998970286863</v>
      </c>
    </row>
    <row r="20" spans="1:5" ht="48.75" customHeight="1" x14ac:dyDescent="0.25">
      <c r="A20" s="1" t="s">
        <v>112</v>
      </c>
      <c r="B20" s="1"/>
      <c r="C20" s="1"/>
      <c r="D20" s="1"/>
      <c r="E20" s="1"/>
    </row>
  </sheetData>
  <mergeCells count="3">
    <mergeCell ref="A1:E1"/>
    <mergeCell ref="A2:E2"/>
    <mergeCell ref="A20:E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4B5"/>
  </sheetPr>
  <dimension ref="B1:K61"/>
  <sheetViews>
    <sheetView showGridLines="0" tabSelected="1" zoomScaleNormal="100" workbookViewId="0">
      <selection activeCell="E17" sqref="E17"/>
    </sheetView>
  </sheetViews>
  <sheetFormatPr baseColWidth="10" defaultColWidth="8.7109375" defaultRowHeight="15" x14ac:dyDescent="0.25"/>
  <cols>
    <col min="1" max="1" width="4" customWidth="1"/>
    <col min="2" max="2" width="6" customWidth="1"/>
    <col min="3" max="3" width="32" customWidth="1"/>
    <col min="4" max="11" width="15" customWidth="1"/>
  </cols>
  <sheetData>
    <row r="1" spans="2:11" ht="30" customHeight="1" x14ac:dyDescent="0.25">
      <c r="B1" s="6" t="s">
        <v>113</v>
      </c>
      <c r="C1" s="6"/>
      <c r="D1" s="6"/>
      <c r="E1" s="6"/>
      <c r="F1" s="6"/>
      <c r="G1" s="6"/>
      <c r="H1" s="6"/>
      <c r="I1" s="6"/>
      <c r="J1" s="6"/>
      <c r="K1" s="6"/>
    </row>
    <row r="2" spans="2:11" ht="150" customHeight="1" x14ac:dyDescent="0.25">
      <c r="B2" s="7" t="s">
        <v>114</v>
      </c>
      <c r="C2" s="7"/>
      <c r="D2" s="7"/>
      <c r="E2" s="7"/>
      <c r="F2" s="7"/>
      <c r="G2" s="7"/>
      <c r="H2" s="7"/>
      <c r="I2" s="7"/>
      <c r="J2" s="7"/>
      <c r="K2" s="7"/>
    </row>
    <row r="3" spans="2:11" ht="24.75" customHeight="1" x14ac:dyDescent="0.25">
      <c r="B3" s="10" t="s">
        <v>115</v>
      </c>
      <c r="C3" s="10"/>
      <c r="D3" s="10"/>
      <c r="E3" s="10"/>
      <c r="F3" s="10"/>
      <c r="G3" s="10"/>
      <c r="H3" s="10"/>
      <c r="I3" s="10"/>
      <c r="J3" s="10"/>
      <c r="K3" s="10"/>
    </row>
    <row r="4" spans="2:11" ht="18" customHeight="1" x14ac:dyDescent="0.25">
      <c r="B4" s="22" t="s">
        <v>116</v>
      </c>
      <c r="C4" s="4" t="s">
        <v>117</v>
      </c>
      <c r="D4" s="4"/>
      <c r="E4" s="4"/>
      <c r="F4" s="4"/>
      <c r="G4" s="4"/>
      <c r="H4" s="4"/>
      <c r="I4" s="4"/>
      <c r="J4" s="4"/>
      <c r="K4" s="4"/>
    </row>
    <row r="5" spans="2:11" ht="21.75" customHeight="1" x14ac:dyDescent="0.25">
      <c r="B5" s="3"/>
      <c r="C5" s="3"/>
      <c r="D5" s="3"/>
      <c r="E5" s="3"/>
      <c r="F5" s="3"/>
      <c r="G5" s="3"/>
      <c r="H5" s="3"/>
      <c r="I5" s="3"/>
      <c r="J5" s="3"/>
      <c r="K5" s="3"/>
    </row>
    <row r="6" spans="2:11" ht="21.75" customHeight="1" x14ac:dyDescent="0.25">
      <c r="B6" s="3"/>
      <c r="C6" s="3"/>
      <c r="D6" s="3"/>
      <c r="E6" s="3"/>
      <c r="F6" s="3"/>
      <c r="G6" s="3"/>
      <c r="H6" s="3"/>
      <c r="I6" s="3"/>
      <c r="J6" s="3"/>
      <c r="K6" s="3"/>
    </row>
    <row r="7" spans="2:11" ht="21.75" customHeight="1" x14ac:dyDescent="0.25">
      <c r="B7" s="3"/>
      <c r="C7" s="3"/>
      <c r="D7" s="3"/>
      <c r="E7" s="3"/>
      <c r="F7" s="3"/>
      <c r="G7" s="3"/>
      <c r="H7" s="3"/>
      <c r="I7" s="3"/>
      <c r="J7" s="3"/>
      <c r="K7" s="3"/>
    </row>
    <row r="8" spans="2:11" ht="18" customHeight="1" x14ac:dyDescent="0.25">
      <c r="B8" s="22" t="s">
        <v>118</v>
      </c>
      <c r="C8" s="4" t="s">
        <v>119</v>
      </c>
      <c r="D8" s="4"/>
      <c r="E8" s="4"/>
      <c r="F8" s="4"/>
      <c r="G8" s="4"/>
      <c r="H8" s="4"/>
      <c r="I8" s="4"/>
      <c r="J8" s="4"/>
      <c r="K8" s="4"/>
    </row>
    <row r="9" spans="2:11" ht="21.75" customHeight="1" x14ac:dyDescent="0.25">
      <c r="B9" s="3"/>
      <c r="C9" s="3"/>
      <c r="D9" s="3"/>
      <c r="E9" s="3"/>
      <c r="F9" s="3"/>
      <c r="G9" s="3"/>
      <c r="H9" s="3"/>
      <c r="I9" s="3"/>
      <c r="J9" s="3"/>
      <c r="K9" s="3"/>
    </row>
    <row r="10" spans="2:11" ht="21.75" customHeight="1" x14ac:dyDescent="0.25">
      <c r="B10" s="3"/>
      <c r="C10" s="3"/>
      <c r="D10" s="3"/>
      <c r="E10" s="3"/>
      <c r="F10" s="3"/>
      <c r="G10" s="3"/>
      <c r="H10" s="3"/>
      <c r="I10" s="3"/>
      <c r="J10" s="3"/>
      <c r="K10" s="3"/>
    </row>
    <row r="11" spans="2:11" ht="21.75" customHeight="1" x14ac:dyDescent="0.25">
      <c r="B11" s="3"/>
      <c r="C11" s="3"/>
      <c r="D11" s="3"/>
      <c r="E11" s="3"/>
      <c r="F11" s="3"/>
      <c r="G11" s="3"/>
      <c r="H11" s="3"/>
      <c r="I11" s="3"/>
      <c r="J11" s="3"/>
      <c r="K11" s="3"/>
    </row>
    <row r="13" spans="2:11" ht="24.75" customHeight="1" x14ac:dyDescent="0.25">
      <c r="B13" s="10" t="s">
        <v>120</v>
      </c>
      <c r="C13" s="10"/>
      <c r="D13" s="10"/>
      <c r="E13" s="10"/>
      <c r="F13" s="10"/>
      <c r="G13" s="10"/>
      <c r="H13" s="10"/>
      <c r="I13" s="10"/>
      <c r="J13" s="10"/>
      <c r="K13" s="10"/>
    </row>
    <row r="14" spans="2:11" ht="62.25" customHeight="1" x14ac:dyDescent="0.25">
      <c r="B14" s="40" t="s">
        <v>121</v>
      </c>
      <c r="C14" s="40"/>
      <c r="D14" s="40"/>
      <c r="E14" s="40"/>
      <c r="F14" s="40"/>
      <c r="G14" s="40"/>
      <c r="H14" s="40"/>
      <c r="I14" s="40"/>
      <c r="J14" s="40"/>
      <c r="K14" s="40"/>
    </row>
    <row r="15" spans="2:11" ht="21.75" customHeight="1" x14ac:dyDescent="0.25">
      <c r="B15" s="1" t="s">
        <v>122</v>
      </c>
      <c r="C15" s="1"/>
      <c r="D15" s="1"/>
      <c r="E15" s="1"/>
      <c r="F15" s="1"/>
      <c r="G15" s="1"/>
      <c r="H15" s="1"/>
      <c r="I15" s="1"/>
      <c r="J15" s="1"/>
      <c r="K15" s="1"/>
    </row>
    <row r="16" spans="2:11" ht="19.5" customHeight="1" x14ac:dyDescent="0.25">
      <c r="B16" s="41" t="s">
        <v>123</v>
      </c>
      <c r="C16" s="41"/>
      <c r="D16" s="41"/>
      <c r="E16" s="32">
        <v>2.4</v>
      </c>
      <c r="F16" s="33" t="s">
        <v>124</v>
      </c>
    </row>
    <row r="17" spans="2:7" ht="19.5" customHeight="1" x14ac:dyDescent="0.25">
      <c r="B17" s="41" t="s">
        <v>125</v>
      </c>
      <c r="C17" s="41"/>
      <c r="D17" s="41"/>
      <c r="E17" s="34">
        <v>3200</v>
      </c>
      <c r="F17" s="33" t="s">
        <v>124</v>
      </c>
    </row>
    <row r="18" spans="2:7" ht="19.5" customHeight="1" x14ac:dyDescent="0.25">
      <c r="B18" s="41" t="s">
        <v>126</v>
      </c>
      <c r="C18" s="41"/>
      <c r="D18" s="41"/>
      <c r="E18" s="34">
        <v>2835</v>
      </c>
      <c r="F18" s="33" t="s">
        <v>124</v>
      </c>
    </row>
    <row r="19" spans="2:7" ht="19.5" customHeight="1" x14ac:dyDescent="0.25">
      <c r="B19" s="41" t="s">
        <v>127</v>
      </c>
      <c r="C19" s="41"/>
      <c r="D19" s="41"/>
      <c r="E19" s="34">
        <v>380</v>
      </c>
      <c r="F19" s="33" t="s">
        <v>128</v>
      </c>
    </row>
    <row r="20" spans="2:7" ht="19.5" customHeight="1" x14ac:dyDescent="0.25">
      <c r="B20" s="41" t="s">
        <v>129</v>
      </c>
      <c r="C20" s="41"/>
      <c r="D20" s="41"/>
      <c r="E20" s="34">
        <v>1850</v>
      </c>
      <c r="F20" s="33" t="s">
        <v>130</v>
      </c>
    </row>
    <row r="22" spans="2:7" ht="36" customHeight="1" x14ac:dyDescent="0.25">
      <c r="B22" s="23" t="s">
        <v>131</v>
      </c>
      <c r="C22" s="23" t="s">
        <v>132</v>
      </c>
      <c r="D22" s="23" t="s">
        <v>133</v>
      </c>
      <c r="E22" s="23" t="s">
        <v>134</v>
      </c>
      <c r="F22" s="23" t="s">
        <v>135</v>
      </c>
      <c r="G22" s="23" t="s">
        <v>136</v>
      </c>
    </row>
    <row r="23" spans="2:7" ht="19.5" customHeight="1" x14ac:dyDescent="0.25">
      <c r="B23" s="27">
        <v>500</v>
      </c>
      <c r="C23" s="29">
        <f>EXP(-POWER(B23/E17,E16))</f>
        <v>0.98844825813581383</v>
      </c>
      <c r="D23" s="29">
        <f t="shared" ref="D23:D35" si="0">1-C23</f>
        <v>1.1551741864186171E-2</v>
      </c>
      <c r="E23" s="35">
        <f>E19*C23+E20*D23</f>
        <v>396.98106054035367</v>
      </c>
      <c r="F23" s="35">
        <f>B23*C23+E18*D23</f>
        <v>526.97331725287472</v>
      </c>
      <c r="G23" s="36">
        <f t="shared" ref="G23:G35" si="1">IF(F23=0,"",E23/F23)</f>
        <v>0.75332288664979474</v>
      </c>
    </row>
    <row r="24" spans="2:7" ht="19.5" customHeight="1" x14ac:dyDescent="0.25">
      <c r="B24" s="30">
        <v>750</v>
      </c>
      <c r="C24" s="29">
        <f>EXP(-POWER(B24/E17,E16))</f>
        <v>0.96972195677998196</v>
      </c>
      <c r="D24" s="29">
        <f t="shared" si="0"/>
        <v>3.0278043220018036E-2</v>
      </c>
      <c r="E24" s="35">
        <f>E19*C24+E20*D24</f>
        <v>424.50872353342652</v>
      </c>
      <c r="F24" s="35">
        <f>B24*C24+E18*D24</f>
        <v>813.12972011373756</v>
      </c>
      <c r="G24" s="36">
        <f t="shared" si="1"/>
        <v>0.52206765173218339</v>
      </c>
    </row>
    <row r="25" spans="2:7" ht="19.5" customHeight="1" x14ac:dyDescent="0.25">
      <c r="B25" s="27">
        <v>1000</v>
      </c>
      <c r="C25" s="29">
        <f>EXP(-POWER(B25/E17,E16))</f>
        <v>0.9405171905307762</v>
      </c>
      <c r="D25" s="29">
        <f t="shared" si="0"/>
        <v>5.9482809469223796E-2</v>
      </c>
      <c r="E25" s="35">
        <f>E19*C25+E20*D25</f>
        <v>467.43972991975897</v>
      </c>
      <c r="F25" s="35">
        <f>B25*C25+E18*D25</f>
        <v>1109.1509553760256</v>
      </c>
      <c r="G25" s="36">
        <f t="shared" si="1"/>
        <v>0.42143923480757134</v>
      </c>
    </row>
    <row r="26" spans="2:7" ht="19.5" customHeight="1" x14ac:dyDescent="0.25">
      <c r="B26" s="30">
        <v>1250</v>
      </c>
      <c r="C26" s="29">
        <f>EXP(-POWER(B26/E17,E16))</f>
        <v>0.90053441493039854</v>
      </c>
      <c r="D26" s="29">
        <f t="shared" si="0"/>
        <v>9.9465585069601459E-2</v>
      </c>
      <c r="E26" s="35">
        <f>E19*C26+E20*D26</f>
        <v>526.21441005231418</v>
      </c>
      <c r="F26" s="35">
        <f>B26*C26+E18*D26</f>
        <v>1407.6529523353183</v>
      </c>
      <c r="G26" s="36">
        <f t="shared" si="1"/>
        <v>0.37382396646795379</v>
      </c>
    </row>
    <row r="27" spans="2:7" ht="19.5" customHeight="1" x14ac:dyDescent="0.25">
      <c r="B27" s="27">
        <v>1500</v>
      </c>
      <c r="C27" s="29">
        <f>EXP(-POWER(B27/E17,E16))</f>
        <v>0.85020499672356276</v>
      </c>
      <c r="D27" s="29">
        <f t="shared" si="0"/>
        <v>0.14979500327643724</v>
      </c>
      <c r="E27" s="35">
        <f>E19*C27+E20*D27</f>
        <v>600.1986548163627</v>
      </c>
      <c r="F27" s="35">
        <f>B27*C27+E18*D27</f>
        <v>1699.9763293740436</v>
      </c>
      <c r="G27" s="36">
        <f t="shared" si="1"/>
        <v>0.3530629482572647</v>
      </c>
    </row>
    <row r="28" spans="2:7" ht="19.5" customHeight="1" x14ac:dyDescent="0.25">
      <c r="B28" s="30">
        <v>1750</v>
      </c>
      <c r="C28" s="29">
        <f>EXP(-POWER(B28/E17,E16))</f>
        <v>0.7906292322736812</v>
      </c>
      <c r="D28" s="29">
        <f t="shared" si="0"/>
        <v>0.2093707677263188</v>
      </c>
      <c r="E28" s="35">
        <f>E19*C28+E20*D28</f>
        <v>687.77502855768853</v>
      </c>
      <c r="F28" s="35">
        <f>B28*C28+E18*D28</f>
        <v>1977.1672829830559</v>
      </c>
      <c r="G28" s="36">
        <f t="shared" si="1"/>
        <v>0.34785879499280725</v>
      </c>
    </row>
    <row r="29" spans="2:7" ht="19.5" customHeight="1" x14ac:dyDescent="0.25">
      <c r="B29" s="27">
        <v>2000</v>
      </c>
      <c r="C29" s="29">
        <f>EXP(-POWER(B29/E17,E16))</f>
        <v>0.72348378132293167</v>
      </c>
      <c r="D29" s="29">
        <f t="shared" si="0"/>
        <v>0.27651621867706833</v>
      </c>
      <c r="E29" s="35">
        <f>E19*C29+E20*D29</f>
        <v>786.47884145529042</v>
      </c>
      <c r="F29" s="35">
        <f>B29*C29+E18*D29</f>
        <v>2230.8910425953522</v>
      </c>
      <c r="G29" s="36">
        <f t="shared" si="1"/>
        <v>0.35254023008686447</v>
      </c>
    </row>
    <row r="30" spans="2:7" ht="19.5" customHeight="1" x14ac:dyDescent="0.25">
      <c r="B30" s="30">
        <v>2250</v>
      </c>
      <c r="C30" s="29">
        <f>EXP(-POWER(B30/E17,E16))</f>
        <v>0.65088918451077948</v>
      </c>
      <c r="D30" s="29">
        <f t="shared" si="0"/>
        <v>0.34911081548922052</v>
      </c>
      <c r="E30" s="35">
        <f>E19*C30+E20*D30</f>
        <v>893.19289876915423</v>
      </c>
      <c r="F30" s="35">
        <f>B30*C30+E18*D30</f>
        <v>2454.2298270611941</v>
      </c>
      <c r="G30" s="36">
        <f t="shared" si="1"/>
        <v>0.36394020189979676</v>
      </c>
    </row>
    <row r="31" spans="2:7" ht="19.5" customHeight="1" x14ac:dyDescent="0.25">
      <c r="B31" s="27">
        <v>2500</v>
      </c>
      <c r="C31" s="29">
        <f>EXP(-POWER(B31/E17,E16))</f>
        <v>0.5752428380810003</v>
      </c>
      <c r="D31" s="29">
        <f t="shared" si="0"/>
        <v>0.4247571619189997</v>
      </c>
      <c r="E31" s="35">
        <f>E19*C31+E20*D31</f>
        <v>1004.3930280209296</v>
      </c>
      <c r="F31" s="35">
        <f>B31*C31+E18*D31</f>
        <v>2642.2936492428648</v>
      </c>
      <c r="G31" s="36">
        <f t="shared" si="1"/>
        <v>0.38012165237907342</v>
      </c>
    </row>
    <row r="32" spans="2:7" ht="19.5" customHeight="1" x14ac:dyDescent="0.25">
      <c r="B32" s="30">
        <v>2750</v>
      </c>
      <c r="C32" s="29">
        <f>EXP(-POWER(B32/E17,E16))</f>
        <v>0.49903154865854293</v>
      </c>
      <c r="D32" s="29">
        <f t="shared" si="0"/>
        <v>0.50096845134145707</v>
      </c>
      <c r="E32" s="35">
        <f>E19*C32+E20*D32</f>
        <v>1116.4236234719419</v>
      </c>
      <c r="F32" s="35">
        <f>B32*C32+E18*D32</f>
        <v>2792.5823183640241</v>
      </c>
      <c r="G32" s="36">
        <f t="shared" si="1"/>
        <v>0.39978181346001479</v>
      </c>
    </row>
    <row r="33" spans="2:11" ht="19.5" customHeight="1" x14ac:dyDescent="0.25">
      <c r="B33" s="27">
        <v>3000</v>
      </c>
      <c r="C33" s="29">
        <f>EXP(-POWER(B33/E17,E16))</f>
        <v>0.42464264915653205</v>
      </c>
      <c r="D33" s="29">
        <f t="shared" si="0"/>
        <v>0.57535735084346795</v>
      </c>
      <c r="E33" s="35">
        <f>E19*C33+E20*D33</f>
        <v>1225.7753057398977</v>
      </c>
      <c r="F33" s="35">
        <f>B33*C33+E18*D33</f>
        <v>2905.0660371108279</v>
      </c>
      <c r="G33" s="36">
        <f t="shared" si="1"/>
        <v>0.42194404191891166</v>
      </c>
    </row>
    <row r="34" spans="2:11" ht="19.5" customHeight="1" x14ac:dyDescent="0.25">
      <c r="B34" s="30">
        <v>3250</v>
      </c>
      <c r="C34" s="29">
        <f>EXP(-POWER(B34/E17,E16))</f>
        <v>0.35419381745186662</v>
      </c>
      <c r="D34" s="29">
        <f t="shared" si="0"/>
        <v>0.64580618254813338</v>
      </c>
      <c r="E34" s="35">
        <f>E19*C34+E20*D34</f>
        <v>1329.335088345756</v>
      </c>
      <c r="F34" s="35">
        <f>B34*C34+E18*D34</f>
        <v>2981.9904342425243</v>
      </c>
      <c r="G34" s="36">
        <f t="shared" si="1"/>
        <v>0.44578784461574888</v>
      </c>
    </row>
    <row r="35" spans="2:11" ht="19.5" customHeight="1" x14ac:dyDescent="0.25">
      <c r="B35" s="27">
        <v>3500</v>
      </c>
      <c r="C35" s="29">
        <f>EXP(-POWER(B35/E17,E16))</f>
        <v>0.28939936046873233</v>
      </c>
      <c r="D35" s="29">
        <f t="shared" si="0"/>
        <v>0.71060063953126762</v>
      </c>
      <c r="E35" s="35">
        <f>E19*C35+E20*D35</f>
        <v>1424.5829401109634</v>
      </c>
      <c r="F35" s="35">
        <f>B35*C35+E18*D35</f>
        <v>3027.4505747117068</v>
      </c>
      <c r="G35" s="36">
        <f t="shared" si="1"/>
        <v>0.47055530881676616</v>
      </c>
    </row>
    <row r="37" spans="2:11" ht="19.5" customHeight="1" x14ac:dyDescent="0.25">
      <c r="B37" s="5" t="s">
        <v>38</v>
      </c>
      <c r="C37" s="5"/>
      <c r="D37" s="5"/>
      <c r="E37" s="5"/>
      <c r="F37" s="5"/>
      <c r="G37" s="5"/>
      <c r="H37" s="5"/>
      <c r="I37" s="5"/>
      <c r="J37" s="5"/>
      <c r="K37" s="5"/>
    </row>
    <row r="38" spans="2:11" ht="18" customHeight="1" x14ac:dyDescent="0.25">
      <c r="B38" s="22" t="s">
        <v>137</v>
      </c>
      <c r="C38" s="4" t="s">
        <v>138</v>
      </c>
      <c r="D38" s="4"/>
      <c r="E38" s="4"/>
      <c r="F38" s="4"/>
      <c r="G38" s="4"/>
      <c r="H38" s="4"/>
      <c r="I38" s="4"/>
      <c r="J38" s="4"/>
      <c r="K38" s="4"/>
    </row>
    <row r="39" spans="2:11" ht="21.75" customHeight="1" x14ac:dyDescent="0.25">
      <c r="B39" s="3"/>
      <c r="C39" s="3"/>
      <c r="D39" s="3"/>
      <c r="E39" s="3"/>
      <c r="F39" s="3"/>
      <c r="G39" s="3"/>
      <c r="H39" s="3"/>
      <c r="I39" s="3"/>
      <c r="J39" s="3"/>
      <c r="K39" s="3"/>
    </row>
    <row r="40" spans="2:11" ht="21.75" customHeight="1" x14ac:dyDescent="0.25">
      <c r="B40" s="3"/>
      <c r="C40" s="3"/>
      <c r="D40" s="3"/>
      <c r="E40" s="3"/>
      <c r="F40" s="3"/>
      <c r="G40" s="3"/>
      <c r="H40" s="3"/>
      <c r="I40" s="3"/>
      <c r="J40" s="3"/>
      <c r="K40" s="3"/>
    </row>
    <row r="41" spans="2:11" ht="21.75" customHeight="1" x14ac:dyDescent="0.25">
      <c r="B41" s="3"/>
      <c r="C41" s="3"/>
      <c r="D41" s="3"/>
      <c r="E41" s="3"/>
      <c r="F41" s="3"/>
      <c r="G41" s="3"/>
      <c r="H41" s="3"/>
      <c r="I41" s="3"/>
      <c r="J41" s="3"/>
      <c r="K41" s="3"/>
    </row>
    <row r="42" spans="2:11" ht="18" customHeight="1" x14ac:dyDescent="0.25">
      <c r="B42" s="22" t="s">
        <v>139</v>
      </c>
      <c r="C42" s="4" t="s">
        <v>140</v>
      </c>
      <c r="D42" s="4"/>
      <c r="E42" s="4"/>
      <c r="F42" s="4"/>
      <c r="G42" s="4"/>
      <c r="H42" s="4"/>
      <c r="I42" s="4"/>
      <c r="J42" s="4"/>
      <c r="K42" s="4"/>
    </row>
    <row r="43" spans="2:11" ht="21.75" customHeight="1" x14ac:dyDescent="0.25">
      <c r="B43" s="3"/>
      <c r="C43" s="3"/>
      <c r="D43" s="3"/>
      <c r="E43" s="3"/>
      <c r="F43" s="3"/>
      <c r="G43" s="3"/>
      <c r="H43" s="3"/>
      <c r="I43" s="3"/>
      <c r="J43" s="3"/>
      <c r="K43" s="3"/>
    </row>
    <row r="44" spans="2:11" ht="21.75" customHeight="1" x14ac:dyDescent="0.25">
      <c r="B44" s="3"/>
      <c r="C44" s="3"/>
      <c r="D44" s="3"/>
      <c r="E44" s="3"/>
      <c r="F44" s="3"/>
      <c r="G44" s="3"/>
      <c r="H44" s="3"/>
      <c r="I44" s="3"/>
      <c r="J44" s="3"/>
      <c r="K44" s="3"/>
    </row>
    <row r="45" spans="2:11" ht="21.75" customHeight="1" x14ac:dyDescent="0.25">
      <c r="B45" s="3"/>
      <c r="C45" s="3"/>
      <c r="D45" s="3"/>
      <c r="E45" s="3"/>
      <c r="F45" s="3"/>
      <c r="G45" s="3"/>
      <c r="H45" s="3"/>
      <c r="I45" s="3"/>
      <c r="J45" s="3"/>
      <c r="K45" s="3"/>
    </row>
    <row r="46" spans="2:11" ht="18" customHeight="1" x14ac:dyDescent="0.25">
      <c r="B46" s="22" t="s">
        <v>141</v>
      </c>
      <c r="C46" s="4" t="s">
        <v>142</v>
      </c>
      <c r="D46" s="4"/>
      <c r="E46" s="4"/>
      <c r="F46" s="4"/>
      <c r="G46" s="4"/>
      <c r="H46" s="4"/>
      <c r="I46" s="4"/>
      <c r="J46" s="4"/>
      <c r="K46" s="4"/>
    </row>
    <row r="47" spans="2:11" ht="21.75" customHeight="1" x14ac:dyDescent="0.25">
      <c r="B47" s="3"/>
      <c r="C47" s="3"/>
      <c r="D47" s="3"/>
      <c r="E47" s="3"/>
      <c r="F47" s="3"/>
      <c r="G47" s="3"/>
      <c r="H47" s="3"/>
      <c r="I47" s="3"/>
      <c r="J47" s="3"/>
      <c r="K47" s="3"/>
    </row>
    <row r="48" spans="2:11" ht="21.75" customHeight="1" x14ac:dyDescent="0.25">
      <c r="B48" s="3"/>
      <c r="C48" s="3"/>
      <c r="D48" s="3"/>
      <c r="E48" s="3"/>
      <c r="F48" s="3"/>
      <c r="G48" s="3"/>
      <c r="H48" s="3"/>
      <c r="I48" s="3"/>
      <c r="J48" s="3"/>
      <c r="K48" s="3"/>
    </row>
    <row r="49" spans="2:11" ht="21.75" customHeight="1" x14ac:dyDescent="0.25">
      <c r="B49" s="3"/>
      <c r="C49" s="3"/>
      <c r="D49" s="3"/>
      <c r="E49" s="3"/>
      <c r="F49" s="3"/>
      <c r="G49" s="3"/>
      <c r="H49" s="3"/>
      <c r="I49" s="3"/>
      <c r="J49" s="3"/>
      <c r="K49" s="3"/>
    </row>
    <row r="51" spans="2:11" ht="24.75" customHeight="1" x14ac:dyDescent="0.25">
      <c r="B51" s="10" t="s">
        <v>143</v>
      </c>
      <c r="C51" s="10"/>
      <c r="D51" s="10"/>
      <c r="E51" s="10"/>
      <c r="F51" s="10"/>
      <c r="G51" s="10"/>
      <c r="H51" s="10"/>
      <c r="I51" s="10"/>
      <c r="J51" s="10"/>
      <c r="K51" s="10"/>
    </row>
    <row r="52" spans="2:11" ht="19.5" customHeight="1" x14ac:dyDescent="0.25">
      <c r="B52" s="3"/>
      <c r="C52" s="3"/>
      <c r="D52" s="3"/>
      <c r="E52" s="3"/>
      <c r="F52" s="3"/>
      <c r="G52" s="3"/>
      <c r="H52" s="3"/>
      <c r="I52" s="3"/>
      <c r="J52" s="3"/>
      <c r="K52" s="3"/>
    </row>
    <row r="53" spans="2:11" ht="19.5" customHeight="1" x14ac:dyDescent="0.25">
      <c r="B53" s="3"/>
      <c r="C53" s="3"/>
      <c r="D53" s="3"/>
      <c r="E53" s="3"/>
      <c r="F53" s="3"/>
      <c r="G53" s="3"/>
      <c r="H53" s="3"/>
      <c r="I53" s="3"/>
      <c r="J53" s="3"/>
      <c r="K53" s="3"/>
    </row>
    <row r="54" spans="2:11" ht="19.5" customHeight="1" x14ac:dyDescent="0.25">
      <c r="B54" s="3"/>
      <c r="C54" s="3"/>
      <c r="D54" s="3"/>
      <c r="E54" s="3"/>
      <c r="F54" s="3"/>
      <c r="G54" s="3"/>
      <c r="H54" s="3"/>
      <c r="I54" s="3"/>
      <c r="J54" s="3"/>
      <c r="K54" s="3"/>
    </row>
    <row r="55" spans="2:11" ht="19.5" customHeight="1" x14ac:dyDescent="0.25">
      <c r="B55" s="3"/>
      <c r="C55" s="3"/>
      <c r="D55" s="3"/>
      <c r="E55" s="3"/>
      <c r="F55" s="3"/>
      <c r="G55" s="3"/>
      <c r="H55" s="3"/>
      <c r="I55" s="3"/>
      <c r="J55" s="3"/>
      <c r="K55" s="3"/>
    </row>
    <row r="56" spans="2:11" ht="19.5" customHeight="1" x14ac:dyDescent="0.25">
      <c r="B56" s="3"/>
      <c r="C56" s="3"/>
      <c r="D56" s="3"/>
      <c r="E56" s="3"/>
      <c r="F56" s="3"/>
      <c r="G56" s="3"/>
      <c r="H56" s="3"/>
      <c r="I56" s="3"/>
      <c r="J56" s="3"/>
      <c r="K56" s="3"/>
    </row>
    <row r="57" spans="2:11" ht="19.5" customHeight="1" x14ac:dyDescent="0.25">
      <c r="B57" s="3"/>
      <c r="C57" s="3"/>
      <c r="D57" s="3"/>
      <c r="E57" s="3"/>
      <c r="F57" s="3"/>
      <c r="G57" s="3"/>
      <c r="H57" s="3"/>
      <c r="I57" s="3"/>
      <c r="J57" s="3"/>
      <c r="K57" s="3"/>
    </row>
    <row r="58" spans="2:11" ht="19.5" customHeight="1" x14ac:dyDescent="0.25">
      <c r="B58" s="3"/>
      <c r="C58" s="3"/>
      <c r="D58" s="3"/>
      <c r="E58" s="3"/>
      <c r="F58" s="3"/>
      <c r="G58" s="3"/>
      <c r="H58" s="3"/>
      <c r="I58" s="3"/>
      <c r="J58" s="3"/>
      <c r="K58" s="3"/>
    </row>
    <row r="59" spans="2:11" ht="19.5" customHeight="1" x14ac:dyDescent="0.25">
      <c r="B59" s="3"/>
      <c r="C59" s="3"/>
      <c r="D59" s="3"/>
      <c r="E59" s="3"/>
      <c r="F59" s="3"/>
      <c r="G59" s="3"/>
      <c r="H59" s="3"/>
      <c r="I59" s="3"/>
      <c r="J59" s="3"/>
      <c r="K59" s="3"/>
    </row>
    <row r="60" spans="2:11" ht="19.5" customHeight="1" x14ac:dyDescent="0.25">
      <c r="B60" s="3"/>
      <c r="C60" s="3"/>
      <c r="D60" s="3"/>
      <c r="E60" s="3"/>
      <c r="F60" s="3"/>
      <c r="G60" s="3"/>
      <c r="H60" s="3"/>
      <c r="I60" s="3"/>
      <c r="J60" s="3"/>
      <c r="K60" s="3"/>
    </row>
    <row r="61" spans="2:11" ht="19.5" customHeight="1" x14ac:dyDescent="0.25">
      <c r="B61" s="3"/>
      <c r="C61" s="3"/>
      <c r="D61" s="3"/>
      <c r="E61" s="3"/>
      <c r="F61" s="3"/>
      <c r="G61" s="3"/>
      <c r="H61" s="3"/>
      <c r="I61" s="3"/>
      <c r="J61" s="3"/>
      <c r="K61" s="3"/>
    </row>
  </sheetData>
  <mergeCells count="43">
    <mergeCell ref="B59:K59"/>
    <mergeCell ref="B60:K60"/>
    <mergeCell ref="B61:K61"/>
    <mergeCell ref="B54:K54"/>
    <mergeCell ref="B55:K55"/>
    <mergeCell ref="B56:K56"/>
    <mergeCell ref="B57:K57"/>
    <mergeCell ref="B58:K58"/>
    <mergeCell ref="B48:K48"/>
    <mergeCell ref="B49:K49"/>
    <mergeCell ref="B51:K51"/>
    <mergeCell ref="B52:K52"/>
    <mergeCell ref="B53:K53"/>
    <mergeCell ref="B43:K43"/>
    <mergeCell ref="B44:K44"/>
    <mergeCell ref="B45:K45"/>
    <mergeCell ref="C46:K46"/>
    <mergeCell ref="B47:K47"/>
    <mergeCell ref="C38:K38"/>
    <mergeCell ref="B39:K39"/>
    <mergeCell ref="B40:K40"/>
    <mergeCell ref="B41:K41"/>
    <mergeCell ref="C42:K42"/>
    <mergeCell ref="B17:D17"/>
    <mergeCell ref="B18:D18"/>
    <mergeCell ref="B19:D19"/>
    <mergeCell ref="B20:D20"/>
    <mergeCell ref="B37:K37"/>
    <mergeCell ref="B11:K11"/>
    <mergeCell ref="B13:K13"/>
    <mergeCell ref="B14:K14"/>
    <mergeCell ref="B15:K15"/>
    <mergeCell ref="B16:D16"/>
    <mergeCell ref="B6:K6"/>
    <mergeCell ref="B7:K7"/>
    <mergeCell ref="C8:K8"/>
    <mergeCell ref="B9:K9"/>
    <mergeCell ref="B10:K10"/>
    <mergeCell ref="B1:K1"/>
    <mergeCell ref="B2:K2"/>
    <mergeCell ref="B3:K3"/>
    <mergeCell ref="C4:K4"/>
    <mergeCell ref="B5:K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B1:H50"/>
  <sheetViews>
    <sheetView showGridLines="0" zoomScaleNormal="100" workbookViewId="0"/>
  </sheetViews>
  <sheetFormatPr baseColWidth="10" defaultColWidth="8.7109375" defaultRowHeight="15" x14ac:dyDescent="0.25"/>
  <cols>
    <col min="1" max="1" width="4" customWidth="1"/>
    <col min="2" max="2" width="6" customWidth="1"/>
    <col min="3" max="3" width="36" customWidth="1"/>
    <col min="4" max="8" width="16" customWidth="1"/>
  </cols>
  <sheetData>
    <row r="1" spans="2:8" ht="30" customHeight="1" x14ac:dyDescent="0.25">
      <c r="B1" s="42" t="s">
        <v>144</v>
      </c>
      <c r="C1" s="42"/>
      <c r="D1" s="42"/>
      <c r="E1" s="42"/>
      <c r="F1" s="42"/>
      <c r="G1" s="42"/>
      <c r="H1" s="42"/>
    </row>
    <row r="2" spans="2:8" ht="24.75" customHeight="1" x14ac:dyDescent="0.25">
      <c r="B2" s="10" t="s">
        <v>145</v>
      </c>
      <c r="C2" s="10"/>
      <c r="D2" s="10"/>
      <c r="E2" s="10"/>
      <c r="F2" s="10"/>
      <c r="G2" s="10"/>
      <c r="H2" s="10"/>
    </row>
    <row r="3" spans="2:8" ht="15" customHeight="1" x14ac:dyDescent="0.25">
      <c r="B3" s="5" t="s">
        <v>146</v>
      </c>
      <c r="C3" s="5"/>
      <c r="D3" s="5"/>
      <c r="E3" s="5"/>
      <c r="F3" s="5"/>
      <c r="G3" s="5"/>
      <c r="H3" s="5"/>
    </row>
    <row r="4" spans="2:8" ht="21.75" customHeight="1" x14ac:dyDescent="0.25">
      <c r="B4" s="43" t="s">
        <v>147</v>
      </c>
      <c r="C4" s="43"/>
      <c r="D4" s="43"/>
      <c r="E4" s="43"/>
      <c r="F4" s="43"/>
      <c r="G4" s="43"/>
      <c r="H4" s="43"/>
    </row>
    <row r="5" spans="2:8" ht="21.75" customHeight="1" x14ac:dyDescent="0.25">
      <c r="B5" s="44" t="s">
        <v>148</v>
      </c>
      <c r="C5" s="44"/>
      <c r="D5" s="44"/>
      <c r="E5" s="44"/>
      <c r="F5" s="44"/>
      <c r="G5" s="44"/>
      <c r="H5" s="44"/>
    </row>
    <row r="6" spans="2:8" ht="21.75" customHeight="1" x14ac:dyDescent="0.25">
      <c r="B6" s="44" t="s">
        <v>149</v>
      </c>
      <c r="C6" s="44"/>
      <c r="D6" s="44"/>
      <c r="E6" s="44"/>
      <c r="F6" s="44"/>
      <c r="G6" s="44"/>
      <c r="H6" s="44"/>
    </row>
    <row r="7" spans="2:8" ht="21.75" customHeight="1" x14ac:dyDescent="0.25">
      <c r="B7" s="45">
        <f>0.88*( 1-(1-0.82)*(1-0.79) )*0.91*0.85</f>
        <v>0.65495029599999999</v>
      </c>
      <c r="C7" s="45"/>
      <c r="D7" s="45"/>
      <c r="E7" s="45"/>
      <c r="F7" s="45"/>
      <c r="G7" s="45"/>
      <c r="H7" s="45"/>
    </row>
    <row r="8" spans="2:8" ht="21.75" customHeight="1" x14ac:dyDescent="0.25">
      <c r="B8" s="46" t="s">
        <v>150</v>
      </c>
      <c r="C8" s="46"/>
      <c r="D8" s="46"/>
      <c r="E8" s="46"/>
      <c r="F8" s="46"/>
      <c r="G8" s="46"/>
      <c r="H8" s="46"/>
    </row>
    <row r="10" spans="2:8" ht="24.75" customHeight="1" x14ac:dyDescent="0.25">
      <c r="B10" s="10" t="s">
        <v>151</v>
      </c>
      <c r="C10" s="10"/>
      <c r="D10" s="10"/>
      <c r="E10" s="10"/>
      <c r="F10" s="10"/>
      <c r="G10" s="10"/>
      <c r="H10" s="10"/>
    </row>
    <row r="11" spans="2:8" ht="21.75" customHeight="1" x14ac:dyDescent="0.25">
      <c r="B11" s="15" t="s">
        <v>152</v>
      </c>
      <c r="C11" s="15" t="s">
        <v>153</v>
      </c>
      <c r="D11" s="15" t="s">
        <v>154</v>
      </c>
      <c r="E11" s="15" t="s">
        <v>155</v>
      </c>
      <c r="F11" s="15" t="s">
        <v>156</v>
      </c>
      <c r="G11" s="15" t="s">
        <v>157</v>
      </c>
    </row>
    <row r="12" spans="2:8" ht="19.5" customHeight="1" x14ac:dyDescent="0.25">
      <c r="B12" s="16" t="s">
        <v>54</v>
      </c>
      <c r="C12" s="16">
        <v>1</v>
      </c>
      <c r="D12" s="16">
        <v>20</v>
      </c>
      <c r="E12" s="37">
        <f t="shared" ref="E12:E18" si="0">C12/(D12*500)</f>
        <v>1E-4</v>
      </c>
      <c r="F12" s="18">
        <v>1</v>
      </c>
      <c r="G12" s="18">
        <f t="shared" ref="G12:G18" si="1">1-F12</f>
        <v>0</v>
      </c>
    </row>
    <row r="13" spans="2:8" ht="19.5" customHeight="1" x14ac:dyDescent="0.25">
      <c r="B13" s="19" t="s">
        <v>55</v>
      </c>
      <c r="C13" s="19">
        <v>2</v>
      </c>
      <c r="D13" s="19">
        <v>19</v>
      </c>
      <c r="E13" s="38">
        <f t="shared" si="0"/>
        <v>2.105263157894737E-4</v>
      </c>
      <c r="F13" s="21">
        <f t="shared" ref="F13:F18" si="2">F12*(1-C13/D13)</f>
        <v>0.89473684210526316</v>
      </c>
      <c r="G13" s="21">
        <f t="shared" si="1"/>
        <v>0.10526315789473684</v>
      </c>
    </row>
    <row r="14" spans="2:8" ht="19.5" customHeight="1" x14ac:dyDescent="0.25">
      <c r="B14" s="16" t="s">
        <v>56</v>
      </c>
      <c r="C14" s="16">
        <v>3</v>
      </c>
      <c r="D14" s="16">
        <v>17</v>
      </c>
      <c r="E14" s="37">
        <f t="shared" si="0"/>
        <v>3.5294117647058826E-4</v>
      </c>
      <c r="F14" s="18">
        <f t="shared" si="2"/>
        <v>0.73684210526315785</v>
      </c>
      <c r="G14" s="18">
        <f t="shared" si="1"/>
        <v>0.26315789473684215</v>
      </c>
    </row>
    <row r="15" spans="2:8" ht="19.5" customHeight="1" x14ac:dyDescent="0.25">
      <c r="B15" s="19" t="s">
        <v>57</v>
      </c>
      <c r="C15" s="19">
        <v>5</v>
      </c>
      <c r="D15" s="19">
        <v>14</v>
      </c>
      <c r="E15" s="38">
        <f t="shared" si="0"/>
        <v>7.1428571428571429E-4</v>
      </c>
      <c r="F15" s="21">
        <f t="shared" si="2"/>
        <v>0.47368421052631571</v>
      </c>
      <c r="G15" s="21">
        <f t="shared" si="1"/>
        <v>0.52631578947368429</v>
      </c>
    </row>
    <row r="16" spans="2:8" ht="19.5" customHeight="1" x14ac:dyDescent="0.25">
      <c r="B16" s="16" t="s">
        <v>58</v>
      </c>
      <c r="C16" s="16">
        <v>4</v>
      </c>
      <c r="D16" s="16">
        <v>9</v>
      </c>
      <c r="E16" s="37">
        <f t="shared" si="0"/>
        <v>8.8888888888888893E-4</v>
      </c>
      <c r="F16" s="18">
        <f t="shared" si="2"/>
        <v>0.26315789473684209</v>
      </c>
      <c r="G16" s="18">
        <f t="shared" si="1"/>
        <v>0.73684210526315796</v>
      </c>
    </row>
    <row r="17" spans="2:8" ht="19.5" customHeight="1" x14ac:dyDescent="0.25">
      <c r="B17" s="19" t="s">
        <v>59</v>
      </c>
      <c r="C17" s="19">
        <v>3</v>
      </c>
      <c r="D17" s="19">
        <v>5</v>
      </c>
      <c r="E17" s="38">
        <f t="shared" si="0"/>
        <v>1.1999999999999999E-3</v>
      </c>
      <c r="F17" s="21">
        <f t="shared" si="2"/>
        <v>0.10526315789473684</v>
      </c>
      <c r="G17" s="21">
        <f t="shared" si="1"/>
        <v>0.89473684210526316</v>
      </c>
    </row>
    <row r="18" spans="2:8" ht="19.5" customHeight="1" x14ac:dyDescent="0.25">
      <c r="B18" s="16" t="s">
        <v>60</v>
      </c>
      <c r="C18" s="16">
        <v>2</v>
      </c>
      <c r="D18" s="16">
        <v>2</v>
      </c>
      <c r="E18" s="37">
        <f t="shared" si="0"/>
        <v>2E-3</v>
      </c>
      <c r="F18" s="18">
        <f t="shared" si="2"/>
        <v>0</v>
      </c>
      <c r="G18" s="18">
        <f t="shared" si="1"/>
        <v>1</v>
      </c>
    </row>
    <row r="20" spans="2:8" ht="18" customHeight="1" x14ac:dyDescent="0.25">
      <c r="B20" s="47" t="s">
        <v>158</v>
      </c>
      <c r="C20" s="47"/>
      <c r="D20" s="47"/>
      <c r="E20" s="47"/>
      <c r="F20" s="47"/>
      <c r="G20" s="47"/>
      <c r="H20" s="47"/>
    </row>
    <row r="22" spans="2:8" ht="24.75" customHeight="1" x14ac:dyDescent="0.25">
      <c r="B22" s="10" t="s">
        <v>159</v>
      </c>
      <c r="C22" s="10"/>
      <c r="D22" s="10"/>
      <c r="E22" s="10"/>
      <c r="F22" s="10"/>
      <c r="G22" s="10"/>
      <c r="H22" s="10"/>
    </row>
    <row r="23" spans="2:8" ht="18" customHeight="1" x14ac:dyDescent="0.25">
      <c r="B23" s="39" t="s">
        <v>160</v>
      </c>
      <c r="C23" s="48"/>
      <c r="D23" s="48"/>
      <c r="E23" s="48"/>
      <c r="F23" s="48"/>
      <c r="G23" s="48"/>
      <c r="H23" s="48"/>
    </row>
    <row r="24" spans="2:8" ht="19.5" customHeight="1" x14ac:dyDescent="0.25">
      <c r="B24" s="49" t="s">
        <v>161</v>
      </c>
      <c r="C24" s="49"/>
      <c r="D24" s="49"/>
      <c r="E24" s="49"/>
      <c r="F24" s="49"/>
      <c r="G24" s="49"/>
      <c r="H24" s="49"/>
    </row>
    <row r="25" spans="2:8" ht="18" customHeight="1" x14ac:dyDescent="0.25">
      <c r="B25" s="39" t="s">
        <v>162</v>
      </c>
      <c r="C25" s="48"/>
      <c r="D25" s="48"/>
      <c r="E25" s="48"/>
      <c r="F25" s="48"/>
      <c r="G25" s="48"/>
      <c r="H25" s="48"/>
    </row>
    <row r="26" spans="2:8" ht="19.5" customHeight="1" x14ac:dyDescent="0.25">
      <c r="B26" s="49" t="s">
        <v>163</v>
      </c>
      <c r="C26" s="49"/>
      <c r="D26" s="49"/>
      <c r="E26" s="49"/>
      <c r="F26" s="49"/>
      <c r="G26" s="49"/>
      <c r="H26" s="49"/>
    </row>
    <row r="27" spans="2:8" ht="18" customHeight="1" x14ac:dyDescent="0.25">
      <c r="B27" s="39" t="s">
        <v>164</v>
      </c>
      <c r="C27" s="48"/>
      <c r="D27" s="48"/>
      <c r="E27" s="48"/>
      <c r="F27" s="48"/>
      <c r="G27" s="48"/>
      <c r="H27" s="48"/>
    </row>
    <row r="28" spans="2:8" ht="19.5" customHeight="1" x14ac:dyDescent="0.25">
      <c r="B28" s="49" t="s">
        <v>165</v>
      </c>
      <c r="C28" s="49"/>
      <c r="D28" s="49"/>
      <c r="E28" s="49"/>
      <c r="F28" s="49"/>
      <c r="G28" s="49"/>
      <c r="H28" s="49"/>
    </row>
    <row r="29" spans="2:8" ht="18" customHeight="1" x14ac:dyDescent="0.25">
      <c r="B29" s="39" t="s">
        <v>166</v>
      </c>
      <c r="C29" s="48"/>
      <c r="D29" s="48"/>
      <c r="E29" s="48"/>
      <c r="F29" s="48"/>
      <c r="G29" s="48"/>
      <c r="H29" s="48"/>
    </row>
    <row r="30" spans="2:8" ht="19.5" customHeight="1" x14ac:dyDescent="0.25">
      <c r="B30" s="49" t="s">
        <v>167</v>
      </c>
      <c r="C30" s="49"/>
      <c r="D30" s="49"/>
      <c r="E30" s="49"/>
      <c r="F30" s="49"/>
      <c r="G30" s="49"/>
      <c r="H30" s="49"/>
    </row>
    <row r="31" spans="2:8" ht="18" customHeight="1" x14ac:dyDescent="0.25">
      <c r="B31" s="39" t="s">
        <v>168</v>
      </c>
      <c r="C31" s="48"/>
      <c r="D31" s="48"/>
      <c r="E31" s="48"/>
      <c r="F31" s="48"/>
      <c r="G31" s="48"/>
      <c r="H31" s="48"/>
    </row>
    <row r="32" spans="2:8" ht="19.5" customHeight="1" x14ac:dyDescent="0.25">
      <c r="B32" s="49" t="s">
        <v>169</v>
      </c>
      <c r="C32" s="49"/>
      <c r="D32" s="49"/>
      <c r="E32" s="49"/>
      <c r="F32" s="49"/>
      <c r="G32" s="49"/>
      <c r="H32" s="49"/>
    </row>
    <row r="33" spans="2:8" ht="18" customHeight="1" x14ac:dyDescent="0.25">
      <c r="B33" s="39" t="s">
        <v>170</v>
      </c>
      <c r="C33" s="48"/>
      <c r="D33" s="48"/>
      <c r="E33" s="48"/>
      <c r="F33" s="48"/>
      <c r="G33" s="48"/>
      <c r="H33" s="48"/>
    </row>
    <row r="34" spans="2:8" ht="19.5" customHeight="1" x14ac:dyDescent="0.25">
      <c r="B34" s="49" t="s">
        <v>171</v>
      </c>
      <c r="C34" s="49"/>
      <c r="D34" s="49"/>
      <c r="E34" s="49"/>
      <c r="F34" s="49"/>
      <c r="G34" s="49"/>
      <c r="H34" s="49"/>
    </row>
    <row r="35" spans="2:8" ht="18" customHeight="1" x14ac:dyDescent="0.25">
      <c r="B35" s="39" t="s">
        <v>172</v>
      </c>
      <c r="C35" s="48"/>
      <c r="D35" s="48"/>
      <c r="E35" s="48"/>
      <c r="F35" s="48"/>
      <c r="G35" s="48"/>
      <c r="H35" s="48"/>
    </row>
    <row r="36" spans="2:8" ht="19.5" customHeight="1" x14ac:dyDescent="0.25">
      <c r="B36" s="49" t="s">
        <v>173</v>
      </c>
      <c r="C36" s="49"/>
      <c r="D36" s="49"/>
      <c r="E36" s="49"/>
      <c r="F36" s="49"/>
      <c r="G36" s="49"/>
      <c r="H36" s="49"/>
    </row>
    <row r="38" spans="2:8" ht="24.75" customHeight="1" x14ac:dyDescent="0.25">
      <c r="B38" s="10" t="s">
        <v>174</v>
      </c>
      <c r="C38" s="10"/>
      <c r="D38" s="10"/>
      <c r="E38" s="10"/>
      <c r="F38" s="10"/>
      <c r="G38" s="10"/>
      <c r="H38" s="10"/>
    </row>
    <row r="39" spans="2:8" ht="18" customHeight="1" x14ac:dyDescent="0.25">
      <c r="B39" s="39" t="s">
        <v>175</v>
      </c>
    </row>
    <row r="40" spans="2:8" ht="19.5" customHeight="1" x14ac:dyDescent="0.25">
      <c r="B40" s="50" t="s">
        <v>176</v>
      </c>
      <c r="C40" s="50"/>
      <c r="D40" s="50"/>
      <c r="E40" s="50"/>
      <c r="F40" s="50"/>
      <c r="G40" s="50"/>
      <c r="H40" s="50"/>
    </row>
    <row r="41" spans="2:8" ht="19.5" customHeight="1" x14ac:dyDescent="0.25">
      <c r="B41" s="50"/>
      <c r="C41" s="50"/>
      <c r="D41" s="50"/>
      <c r="E41" s="50"/>
      <c r="F41" s="50"/>
      <c r="G41" s="50"/>
      <c r="H41" s="50"/>
    </row>
    <row r="42" spans="2:8" ht="18" customHeight="1" x14ac:dyDescent="0.25">
      <c r="B42" s="39" t="s">
        <v>177</v>
      </c>
    </row>
    <row r="43" spans="2:8" ht="19.5" customHeight="1" x14ac:dyDescent="0.25">
      <c r="B43" s="50" t="s">
        <v>178</v>
      </c>
      <c r="C43" s="50"/>
      <c r="D43" s="50"/>
      <c r="E43" s="50"/>
      <c r="F43" s="50"/>
      <c r="G43" s="50"/>
      <c r="H43" s="50"/>
    </row>
    <row r="44" spans="2:8" ht="19.5" customHeight="1" x14ac:dyDescent="0.25">
      <c r="B44" s="50"/>
      <c r="C44" s="50"/>
      <c r="D44" s="50"/>
      <c r="E44" s="50"/>
      <c r="F44" s="50"/>
      <c r="G44" s="50"/>
      <c r="H44" s="50"/>
    </row>
    <row r="45" spans="2:8" ht="18" customHeight="1" x14ac:dyDescent="0.25">
      <c r="B45" s="39" t="s">
        <v>179</v>
      </c>
    </row>
    <row r="46" spans="2:8" ht="19.5" customHeight="1" x14ac:dyDescent="0.25">
      <c r="B46" s="50" t="s">
        <v>180</v>
      </c>
      <c r="C46" s="50"/>
      <c r="D46" s="50"/>
      <c r="E46" s="50"/>
      <c r="F46" s="50"/>
      <c r="G46" s="50"/>
      <c r="H46" s="50"/>
    </row>
    <row r="47" spans="2:8" ht="19.5" customHeight="1" x14ac:dyDescent="0.25">
      <c r="B47" s="50"/>
      <c r="C47" s="50"/>
      <c r="D47" s="50"/>
      <c r="E47" s="50"/>
      <c r="F47" s="50"/>
      <c r="G47" s="50"/>
      <c r="H47" s="50"/>
    </row>
    <row r="48" spans="2:8" ht="18" customHeight="1" x14ac:dyDescent="0.25">
      <c r="B48" s="39" t="s">
        <v>181</v>
      </c>
    </row>
    <row r="49" spans="2:8" ht="19.5" customHeight="1" x14ac:dyDescent="0.25">
      <c r="B49" s="50" t="s">
        <v>182</v>
      </c>
      <c r="C49" s="50"/>
      <c r="D49" s="50"/>
      <c r="E49" s="50"/>
      <c r="F49" s="50"/>
      <c r="G49" s="50"/>
      <c r="H49" s="50"/>
    </row>
    <row r="50" spans="2:8" ht="19.5" customHeight="1" x14ac:dyDescent="0.25">
      <c r="B50" s="50"/>
      <c r="C50" s="50"/>
      <c r="D50" s="50"/>
      <c r="E50" s="50"/>
      <c r="F50" s="50"/>
      <c r="G50" s="50"/>
      <c r="H50" s="50"/>
    </row>
  </sheetData>
  <mergeCells count="30">
    <mergeCell ref="B38:H38"/>
    <mergeCell ref="B40:H41"/>
    <mergeCell ref="B43:H44"/>
    <mergeCell ref="B46:H47"/>
    <mergeCell ref="B49:H50"/>
    <mergeCell ref="B32:H32"/>
    <mergeCell ref="C33:H33"/>
    <mergeCell ref="B34:H34"/>
    <mergeCell ref="C35:H35"/>
    <mergeCell ref="B36:H36"/>
    <mergeCell ref="C27:H27"/>
    <mergeCell ref="B28:H28"/>
    <mergeCell ref="C29:H29"/>
    <mergeCell ref="B30:H30"/>
    <mergeCell ref="C31:H31"/>
    <mergeCell ref="B22:H22"/>
    <mergeCell ref="C23:H23"/>
    <mergeCell ref="B24:H24"/>
    <mergeCell ref="C25:H25"/>
    <mergeCell ref="B26:H26"/>
    <mergeCell ref="B6:H6"/>
    <mergeCell ref="B7:H7"/>
    <mergeCell ref="B8:H8"/>
    <mergeCell ref="B10:H10"/>
    <mergeCell ref="B20:H20"/>
    <mergeCell ref="B1:H1"/>
    <mergeCell ref="B2:H2"/>
    <mergeCell ref="B3:H3"/>
    <mergeCell ref="B4:H4"/>
    <mergeCell ref="B5:H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Page de garde</vt:lpstr>
      <vt:lpstr>Partie A – Diagramme &amp; Empirie</vt:lpstr>
      <vt:lpstr>Partie B – Weibull Ellistat</vt:lpstr>
      <vt:lpstr>Données Weibull</vt:lpstr>
      <vt:lpstr>Partie C – Périodicité optimale</vt:lpstr>
      <vt:lpstr>CORRIGÉ – Réservé prof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Stéphane JAUBERT</cp:lastModifiedBy>
  <cp:revision>0</cp:revision>
  <dcterms:created xsi:type="dcterms:W3CDTF">2026-04-28T13:12:47Z</dcterms:created>
  <dcterms:modified xsi:type="dcterms:W3CDTF">2026-04-28T13:17:31Z</dcterms:modified>
  <dc:language>en-US</dc:language>
</cp:coreProperties>
</file>